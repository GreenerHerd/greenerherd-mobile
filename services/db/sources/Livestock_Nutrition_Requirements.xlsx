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thalgallagher/Documents/GreenerHerd/"/>
    </mc:Choice>
  </mc:AlternateContent>
  <xr:revisionPtr revIDLastSave="0" documentId="8_{62F35924-D0EC-9042-9EA6-95242E506D8E}" xr6:coauthVersionLast="47" xr6:coauthVersionMax="47" xr10:uidLastSave="{00000000-0000-0000-0000-000000000000}"/>
  <bookViews>
    <workbookView xWindow="0" yWindow="2380" windowWidth="30240" windowHeight="16540" activeTab="4" xr2:uid="{4BA896C1-66E8-644E-BD0E-2336DECC2032}"/>
  </bookViews>
  <sheets>
    <sheet name="Beef Cattle" sheetId="1" r:id="rId1"/>
    <sheet name="Beef Cattle kg)" sheetId="4" r:id="rId2"/>
    <sheet name="Sheet4" sheetId="6" r:id="rId3"/>
    <sheet name="Dairy Cattle" sheetId="2" r:id="rId4"/>
    <sheet name="Caluculation Sheet" sheetId="7" r:id="rId5"/>
    <sheet name="Sheet7" sheetId="9" r:id="rId6"/>
    <sheet name="Sheet8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26" i="9" l="1"/>
  <c r="W226" i="9"/>
  <c r="U226" i="9"/>
  <c r="T226" i="9"/>
  <c r="S226" i="9"/>
  <c r="R226" i="9"/>
  <c r="Q226" i="9"/>
  <c r="P226" i="9"/>
  <c r="C226" i="9"/>
  <c r="AB225" i="9"/>
  <c r="Z225" i="9"/>
  <c r="W225" i="9"/>
  <c r="U225" i="9"/>
  <c r="T225" i="9"/>
  <c r="S225" i="9"/>
  <c r="R225" i="9"/>
  <c r="Q225" i="9"/>
  <c r="P225" i="9"/>
  <c r="C225" i="9"/>
  <c r="U223" i="9"/>
  <c r="T223" i="9"/>
  <c r="S223" i="9"/>
  <c r="R223" i="9"/>
  <c r="Q223" i="9"/>
  <c r="P223" i="9"/>
  <c r="C223" i="9"/>
  <c r="U222" i="9"/>
  <c r="T222" i="9"/>
  <c r="S222" i="9"/>
  <c r="R222" i="9"/>
  <c r="Q222" i="9"/>
  <c r="P222" i="9"/>
  <c r="C222" i="9"/>
  <c r="AB221" i="9"/>
  <c r="Z221" i="9"/>
  <c r="W221" i="9"/>
  <c r="U221" i="9"/>
  <c r="T221" i="9"/>
  <c r="S221" i="9"/>
  <c r="R221" i="9"/>
  <c r="Q221" i="9"/>
  <c r="P221" i="9"/>
  <c r="I221" i="9"/>
  <c r="E221" i="9"/>
  <c r="C221" i="9"/>
  <c r="AB220" i="9"/>
  <c r="Z220" i="9"/>
  <c r="W220" i="9"/>
  <c r="U220" i="9"/>
  <c r="T220" i="9"/>
  <c r="S220" i="9"/>
  <c r="R220" i="9"/>
  <c r="Q220" i="9"/>
  <c r="P220" i="9"/>
  <c r="I220" i="9"/>
  <c r="E220" i="9"/>
  <c r="C220" i="9"/>
  <c r="AB219" i="9"/>
  <c r="Z219" i="9"/>
  <c r="W219" i="9"/>
  <c r="U219" i="9"/>
  <c r="T219" i="9"/>
  <c r="S219" i="9"/>
  <c r="R219" i="9"/>
  <c r="Q219" i="9"/>
  <c r="P219" i="9"/>
  <c r="I219" i="9"/>
  <c r="E219" i="9"/>
  <c r="C219" i="9"/>
  <c r="AB218" i="9"/>
  <c r="Z218" i="9"/>
  <c r="W218" i="9"/>
  <c r="U218" i="9"/>
  <c r="T218" i="9"/>
  <c r="S218" i="9"/>
  <c r="R218" i="9"/>
  <c r="Q218" i="9"/>
  <c r="P218" i="9"/>
  <c r="I218" i="9"/>
  <c r="E218" i="9"/>
  <c r="C218" i="9"/>
  <c r="AB217" i="9"/>
  <c r="Z217" i="9"/>
  <c r="W217" i="9"/>
  <c r="U217" i="9"/>
  <c r="T217" i="9"/>
  <c r="S217" i="9"/>
  <c r="R217" i="9"/>
  <c r="Q217" i="9"/>
  <c r="P217" i="9"/>
  <c r="I217" i="9"/>
  <c r="E217" i="9"/>
  <c r="C217" i="9"/>
  <c r="AB216" i="9"/>
  <c r="Z216" i="9"/>
  <c r="W216" i="9"/>
  <c r="U216" i="9"/>
  <c r="T216" i="9"/>
  <c r="S216" i="9"/>
  <c r="R216" i="9"/>
  <c r="Q216" i="9"/>
  <c r="P216" i="9"/>
  <c r="I216" i="9"/>
  <c r="E216" i="9"/>
  <c r="C216" i="9"/>
  <c r="AB215" i="9"/>
  <c r="Z215" i="9"/>
  <c r="W215" i="9"/>
  <c r="U215" i="9"/>
  <c r="T215" i="9"/>
  <c r="S215" i="9"/>
  <c r="R215" i="9"/>
  <c r="Q215" i="9"/>
  <c r="P215" i="9"/>
  <c r="I215" i="9"/>
  <c r="E215" i="9"/>
  <c r="C215" i="9"/>
  <c r="AB214" i="9"/>
  <c r="Z214" i="9"/>
  <c r="W214" i="9"/>
  <c r="U214" i="9"/>
  <c r="T214" i="9"/>
  <c r="S214" i="9"/>
  <c r="R214" i="9"/>
  <c r="Q214" i="9"/>
  <c r="P214" i="9"/>
  <c r="I214" i="9"/>
  <c r="E214" i="9"/>
  <c r="C214" i="9"/>
  <c r="AB213" i="9"/>
  <c r="Z213" i="9"/>
  <c r="W213" i="9"/>
  <c r="U213" i="9"/>
  <c r="T213" i="9"/>
  <c r="S213" i="9"/>
  <c r="R213" i="9"/>
  <c r="Q213" i="9"/>
  <c r="P213" i="9"/>
  <c r="I213" i="9"/>
  <c r="E213" i="9"/>
  <c r="C213" i="9"/>
  <c r="AB212" i="9"/>
  <c r="Z212" i="9"/>
  <c r="W212" i="9"/>
  <c r="U212" i="9"/>
  <c r="T212" i="9"/>
  <c r="S212" i="9"/>
  <c r="R212" i="9"/>
  <c r="Q212" i="9"/>
  <c r="P212" i="9"/>
  <c r="I212" i="9"/>
  <c r="E212" i="9"/>
  <c r="C212" i="9"/>
  <c r="AB211" i="9"/>
  <c r="Z211" i="9"/>
  <c r="W211" i="9"/>
  <c r="U211" i="9"/>
  <c r="T211" i="9"/>
  <c r="S211" i="9"/>
  <c r="R211" i="9"/>
  <c r="Q211" i="9"/>
  <c r="P211" i="9"/>
  <c r="I211" i="9"/>
  <c r="E211" i="9"/>
  <c r="C211" i="9"/>
  <c r="AB210" i="9"/>
  <c r="Z210" i="9"/>
  <c r="W210" i="9"/>
  <c r="U210" i="9"/>
  <c r="T210" i="9"/>
  <c r="S210" i="9"/>
  <c r="R210" i="9"/>
  <c r="Q210" i="9"/>
  <c r="P210" i="9"/>
  <c r="I210" i="9"/>
  <c r="E210" i="9"/>
  <c r="C210" i="9"/>
  <c r="AB209" i="9"/>
  <c r="Z209" i="9"/>
  <c r="W209" i="9"/>
  <c r="U209" i="9"/>
  <c r="T209" i="9"/>
  <c r="S209" i="9"/>
  <c r="R209" i="9"/>
  <c r="Q209" i="9"/>
  <c r="P209" i="9"/>
  <c r="I209" i="9"/>
  <c r="E209" i="9"/>
  <c r="C209" i="9"/>
  <c r="AB208" i="9"/>
  <c r="Z208" i="9"/>
  <c r="W208" i="9"/>
  <c r="U208" i="9"/>
  <c r="T208" i="9"/>
  <c r="S208" i="9"/>
  <c r="R208" i="9"/>
  <c r="Q208" i="9"/>
  <c r="P208" i="9"/>
  <c r="I208" i="9"/>
  <c r="E208" i="9"/>
  <c r="C208" i="9"/>
  <c r="AB207" i="9"/>
  <c r="Z207" i="9"/>
  <c r="W207" i="9"/>
  <c r="U207" i="9"/>
  <c r="T207" i="9"/>
  <c r="S207" i="9"/>
  <c r="R207" i="9"/>
  <c r="Q207" i="9"/>
  <c r="P207" i="9"/>
  <c r="I207" i="9"/>
  <c r="E207" i="9"/>
  <c r="C207" i="9"/>
  <c r="AB206" i="9"/>
  <c r="Z206" i="9"/>
  <c r="W206" i="9"/>
  <c r="U206" i="9"/>
  <c r="T206" i="9"/>
  <c r="S206" i="9"/>
  <c r="R206" i="9"/>
  <c r="Q206" i="9"/>
  <c r="P206" i="9"/>
  <c r="I206" i="9"/>
  <c r="E206" i="9"/>
  <c r="C206" i="9"/>
  <c r="AB205" i="9"/>
  <c r="Z205" i="9"/>
  <c r="W205" i="9"/>
  <c r="U205" i="9"/>
  <c r="T205" i="9"/>
  <c r="S205" i="9"/>
  <c r="R205" i="9"/>
  <c r="Q205" i="9"/>
  <c r="P205" i="9"/>
  <c r="I205" i="9"/>
  <c r="E205" i="9"/>
  <c r="C205" i="9"/>
  <c r="AB204" i="9"/>
  <c r="Z204" i="9"/>
  <c r="W204" i="9"/>
  <c r="U204" i="9"/>
  <c r="T204" i="9"/>
  <c r="S204" i="9"/>
  <c r="R204" i="9"/>
  <c r="Q204" i="9"/>
  <c r="P204" i="9"/>
  <c r="I204" i="9"/>
  <c r="E204" i="9"/>
  <c r="C204" i="9"/>
  <c r="AB203" i="9"/>
  <c r="Z203" i="9"/>
  <c r="W203" i="9"/>
  <c r="U203" i="9"/>
  <c r="T203" i="9"/>
  <c r="S203" i="9"/>
  <c r="R203" i="9"/>
  <c r="Q203" i="9"/>
  <c r="P203" i="9"/>
  <c r="I203" i="9"/>
  <c r="E203" i="9"/>
  <c r="C203" i="9"/>
  <c r="AB202" i="9"/>
  <c r="Z202" i="9"/>
  <c r="W202" i="9"/>
  <c r="U202" i="9"/>
  <c r="T202" i="9"/>
  <c r="S202" i="9"/>
  <c r="R202" i="9"/>
  <c r="Q202" i="9"/>
  <c r="P202" i="9"/>
  <c r="I202" i="9"/>
  <c r="E202" i="9"/>
  <c r="C202" i="9"/>
  <c r="AB201" i="9"/>
  <c r="Z201" i="9"/>
  <c r="W201" i="9"/>
  <c r="U201" i="9"/>
  <c r="T201" i="9"/>
  <c r="S201" i="9"/>
  <c r="R201" i="9"/>
  <c r="Q201" i="9"/>
  <c r="P201" i="9"/>
  <c r="I201" i="9"/>
  <c r="E201" i="9"/>
  <c r="C201" i="9"/>
  <c r="AB200" i="9"/>
  <c r="Z200" i="9"/>
  <c r="W200" i="9"/>
  <c r="U200" i="9"/>
  <c r="T200" i="9"/>
  <c r="S200" i="9"/>
  <c r="R200" i="9"/>
  <c r="Q200" i="9"/>
  <c r="P200" i="9"/>
  <c r="I200" i="9"/>
  <c r="E200" i="9"/>
  <c r="C200" i="9"/>
  <c r="AB199" i="9"/>
  <c r="Z199" i="9"/>
  <c r="W199" i="9"/>
  <c r="U199" i="9"/>
  <c r="T199" i="9"/>
  <c r="S199" i="9"/>
  <c r="R199" i="9"/>
  <c r="Q199" i="9"/>
  <c r="P199" i="9"/>
  <c r="I199" i="9"/>
  <c r="E199" i="9"/>
  <c r="C199" i="9"/>
  <c r="AB198" i="9"/>
  <c r="Z198" i="9"/>
  <c r="W198" i="9"/>
  <c r="U198" i="9"/>
  <c r="T198" i="9"/>
  <c r="S198" i="9"/>
  <c r="R198" i="9"/>
  <c r="Q198" i="9"/>
  <c r="P198" i="9"/>
  <c r="I198" i="9"/>
  <c r="E198" i="9"/>
  <c r="C198" i="9"/>
  <c r="AB197" i="9"/>
  <c r="Z197" i="9"/>
  <c r="W197" i="9"/>
  <c r="U197" i="9"/>
  <c r="T197" i="9"/>
  <c r="S197" i="9"/>
  <c r="R197" i="9"/>
  <c r="Q197" i="9"/>
  <c r="P197" i="9"/>
  <c r="I197" i="9"/>
  <c r="E197" i="9"/>
  <c r="C197" i="9"/>
  <c r="AB196" i="9"/>
  <c r="Z196" i="9"/>
  <c r="W196" i="9"/>
  <c r="U196" i="9"/>
  <c r="T196" i="9"/>
  <c r="S196" i="9"/>
  <c r="R196" i="9"/>
  <c r="Q196" i="9"/>
  <c r="P196" i="9"/>
  <c r="I196" i="9"/>
  <c r="E196" i="9"/>
  <c r="C196" i="9"/>
  <c r="AB195" i="9"/>
  <c r="Z195" i="9"/>
  <c r="W195" i="9"/>
  <c r="U195" i="9"/>
  <c r="T195" i="9"/>
  <c r="S195" i="9"/>
  <c r="R195" i="9"/>
  <c r="Q195" i="9"/>
  <c r="P195" i="9"/>
  <c r="I195" i="9"/>
  <c r="E195" i="9"/>
  <c r="C195" i="9"/>
  <c r="AB194" i="9"/>
  <c r="Z194" i="9"/>
  <c r="W194" i="9"/>
  <c r="U194" i="9"/>
  <c r="T194" i="9"/>
  <c r="S194" i="9"/>
  <c r="R194" i="9"/>
  <c r="Q194" i="9"/>
  <c r="P194" i="9"/>
  <c r="I194" i="9"/>
  <c r="E194" i="9"/>
  <c r="C194" i="9"/>
  <c r="AB193" i="9"/>
  <c r="Z193" i="9"/>
  <c r="W193" i="9"/>
  <c r="U193" i="9"/>
  <c r="T193" i="9"/>
  <c r="S193" i="9"/>
  <c r="R193" i="9"/>
  <c r="Q193" i="9"/>
  <c r="P193" i="9"/>
  <c r="I193" i="9"/>
  <c r="E193" i="9"/>
  <c r="C193" i="9"/>
  <c r="AB192" i="9"/>
  <c r="Z192" i="9"/>
  <c r="W192" i="9"/>
  <c r="U192" i="9"/>
  <c r="T192" i="9"/>
  <c r="S192" i="9"/>
  <c r="R192" i="9"/>
  <c r="Q192" i="9"/>
  <c r="P192" i="9"/>
  <c r="I192" i="9"/>
  <c r="E192" i="9"/>
  <c r="C192" i="9"/>
  <c r="AB191" i="9"/>
  <c r="Z191" i="9"/>
  <c r="W191" i="9"/>
  <c r="U191" i="9"/>
  <c r="T191" i="9"/>
  <c r="S191" i="9"/>
  <c r="R191" i="9"/>
  <c r="Q191" i="9"/>
  <c r="P191" i="9"/>
  <c r="I191" i="9"/>
  <c r="E191" i="9"/>
  <c r="C191" i="9"/>
  <c r="AB190" i="9"/>
  <c r="Z190" i="9"/>
  <c r="W190" i="9"/>
  <c r="U190" i="9"/>
  <c r="T190" i="9"/>
  <c r="S190" i="9"/>
  <c r="R190" i="9"/>
  <c r="Q190" i="9"/>
  <c r="P190" i="9"/>
  <c r="I190" i="9"/>
  <c r="E190" i="9"/>
  <c r="C190" i="9"/>
  <c r="AB189" i="9"/>
  <c r="Z189" i="9"/>
  <c r="W189" i="9"/>
  <c r="U189" i="9"/>
  <c r="T189" i="9"/>
  <c r="S189" i="9"/>
  <c r="R189" i="9"/>
  <c r="Q189" i="9"/>
  <c r="P189" i="9"/>
  <c r="I189" i="9"/>
  <c r="E189" i="9"/>
  <c r="C189" i="9"/>
  <c r="AB188" i="9"/>
  <c r="Z188" i="9"/>
  <c r="W188" i="9"/>
  <c r="U188" i="9"/>
  <c r="T188" i="9"/>
  <c r="S188" i="9"/>
  <c r="R188" i="9"/>
  <c r="Q188" i="9"/>
  <c r="P188" i="9"/>
  <c r="I188" i="9"/>
  <c r="E188" i="9"/>
  <c r="C188" i="9"/>
  <c r="AB187" i="9"/>
  <c r="Z187" i="9"/>
  <c r="W187" i="9"/>
  <c r="U187" i="9"/>
  <c r="T187" i="9"/>
  <c r="S187" i="9"/>
  <c r="R187" i="9"/>
  <c r="Q187" i="9"/>
  <c r="P187" i="9"/>
  <c r="I187" i="9"/>
  <c r="E187" i="9"/>
  <c r="C187" i="9"/>
  <c r="AB186" i="9"/>
  <c r="Z186" i="9"/>
  <c r="W186" i="9"/>
  <c r="U186" i="9"/>
  <c r="T186" i="9"/>
  <c r="S186" i="9"/>
  <c r="R186" i="9"/>
  <c r="Q186" i="9"/>
  <c r="P186" i="9"/>
  <c r="I186" i="9"/>
  <c r="E186" i="9"/>
  <c r="C186" i="9"/>
  <c r="AB185" i="9"/>
  <c r="Z185" i="9"/>
  <c r="W185" i="9"/>
  <c r="U185" i="9"/>
  <c r="T185" i="9"/>
  <c r="S185" i="9"/>
  <c r="R185" i="9"/>
  <c r="Q185" i="9"/>
  <c r="P185" i="9"/>
  <c r="I185" i="9"/>
  <c r="E185" i="9"/>
  <c r="C185" i="9"/>
  <c r="AB184" i="9"/>
  <c r="Z184" i="9"/>
  <c r="W184" i="9"/>
  <c r="U184" i="9"/>
  <c r="T184" i="9"/>
  <c r="S184" i="9"/>
  <c r="R184" i="9"/>
  <c r="Q184" i="9"/>
  <c r="P184" i="9"/>
  <c r="I184" i="9"/>
  <c r="E184" i="9"/>
  <c r="C184" i="9"/>
  <c r="AB183" i="9"/>
  <c r="Z183" i="9"/>
  <c r="W183" i="9"/>
  <c r="U183" i="9"/>
  <c r="T183" i="9"/>
  <c r="S183" i="9"/>
  <c r="R183" i="9"/>
  <c r="Q183" i="9"/>
  <c r="P183" i="9"/>
  <c r="I183" i="9"/>
  <c r="E183" i="9"/>
  <c r="C183" i="9"/>
  <c r="AB182" i="9"/>
  <c r="Z182" i="9"/>
  <c r="W182" i="9"/>
  <c r="U182" i="9"/>
  <c r="T182" i="9"/>
  <c r="S182" i="9"/>
  <c r="R182" i="9"/>
  <c r="Q182" i="9"/>
  <c r="P182" i="9"/>
  <c r="I182" i="9"/>
  <c r="E182" i="9"/>
  <c r="C182" i="9"/>
  <c r="AB181" i="9"/>
  <c r="Z181" i="9"/>
  <c r="W181" i="9"/>
  <c r="U181" i="9"/>
  <c r="T181" i="9"/>
  <c r="S181" i="9"/>
  <c r="R181" i="9"/>
  <c r="Q181" i="9"/>
  <c r="P181" i="9"/>
  <c r="I181" i="9"/>
  <c r="E181" i="9"/>
  <c r="C181" i="9"/>
  <c r="AB180" i="9"/>
  <c r="Z180" i="9"/>
  <c r="W180" i="9"/>
  <c r="U180" i="9"/>
  <c r="T180" i="9"/>
  <c r="S180" i="9"/>
  <c r="R180" i="9"/>
  <c r="Q180" i="9"/>
  <c r="P180" i="9"/>
  <c r="I180" i="9"/>
  <c r="E180" i="9"/>
  <c r="C180" i="9"/>
  <c r="AB179" i="9"/>
  <c r="Z179" i="9"/>
  <c r="W179" i="9"/>
  <c r="U179" i="9"/>
  <c r="T179" i="9"/>
  <c r="S179" i="9"/>
  <c r="R179" i="9"/>
  <c r="Q179" i="9"/>
  <c r="P179" i="9"/>
  <c r="I179" i="9"/>
  <c r="E179" i="9"/>
  <c r="C179" i="9"/>
  <c r="AB178" i="9"/>
  <c r="Z178" i="9"/>
  <c r="W178" i="9"/>
  <c r="U178" i="9"/>
  <c r="T178" i="9"/>
  <c r="S178" i="9"/>
  <c r="R178" i="9"/>
  <c r="Q178" i="9"/>
  <c r="P178" i="9"/>
  <c r="I178" i="9"/>
  <c r="E178" i="9"/>
  <c r="C178" i="9"/>
  <c r="AB177" i="9"/>
  <c r="Z177" i="9"/>
  <c r="W177" i="9"/>
  <c r="U177" i="9"/>
  <c r="T177" i="9"/>
  <c r="S177" i="9"/>
  <c r="R177" i="9"/>
  <c r="Q177" i="9"/>
  <c r="P177" i="9"/>
  <c r="I177" i="9"/>
  <c r="E177" i="9"/>
  <c r="C177" i="9"/>
  <c r="AB176" i="9"/>
  <c r="Z176" i="9"/>
  <c r="W176" i="9"/>
  <c r="U176" i="9"/>
  <c r="T176" i="9"/>
  <c r="S176" i="9"/>
  <c r="R176" i="9"/>
  <c r="Q176" i="9"/>
  <c r="P176" i="9"/>
  <c r="I176" i="9"/>
  <c r="E176" i="9"/>
  <c r="C176" i="9"/>
  <c r="AB175" i="9"/>
  <c r="Z175" i="9"/>
  <c r="W175" i="9"/>
  <c r="U175" i="9"/>
  <c r="T175" i="9"/>
  <c r="S175" i="9"/>
  <c r="R175" i="9"/>
  <c r="Q175" i="9"/>
  <c r="P175" i="9"/>
  <c r="I175" i="9"/>
  <c r="E175" i="9"/>
  <c r="C175" i="9"/>
  <c r="AB174" i="9"/>
  <c r="Z174" i="9"/>
  <c r="W174" i="9"/>
  <c r="U174" i="9"/>
  <c r="T174" i="9"/>
  <c r="S174" i="9"/>
  <c r="R174" i="9"/>
  <c r="Q174" i="9"/>
  <c r="P174" i="9"/>
  <c r="I174" i="9"/>
  <c r="E174" i="9"/>
  <c r="C174" i="9"/>
  <c r="AB173" i="9"/>
  <c r="Z173" i="9"/>
  <c r="W173" i="9"/>
  <c r="U173" i="9"/>
  <c r="T173" i="9"/>
  <c r="S173" i="9"/>
  <c r="R173" i="9"/>
  <c r="Q173" i="9"/>
  <c r="P173" i="9"/>
  <c r="I173" i="9"/>
  <c r="E173" i="9"/>
  <c r="C173" i="9"/>
  <c r="AB172" i="9"/>
  <c r="Z172" i="9"/>
  <c r="W172" i="9"/>
  <c r="U172" i="9"/>
  <c r="T172" i="9"/>
  <c r="S172" i="9"/>
  <c r="R172" i="9"/>
  <c r="Q172" i="9"/>
  <c r="P172" i="9"/>
  <c r="I172" i="9"/>
  <c r="E172" i="9"/>
  <c r="C172" i="9"/>
  <c r="AB171" i="9"/>
  <c r="Z171" i="9"/>
  <c r="W171" i="9"/>
  <c r="U171" i="9"/>
  <c r="T171" i="9"/>
  <c r="S171" i="9"/>
  <c r="R171" i="9"/>
  <c r="Q171" i="9"/>
  <c r="P171" i="9"/>
  <c r="I171" i="9"/>
  <c r="E171" i="9"/>
  <c r="C171" i="9"/>
  <c r="AB170" i="9"/>
  <c r="Z170" i="9"/>
  <c r="W170" i="9"/>
  <c r="U170" i="9"/>
  <c r="T170" i="9"/>
  <c r="S170" i="9"/>
  <c r="R170" i="9"/>
  <c r="Q170" i="9"/>
  <c r="P170" i="9"/>
  <c r="I170" i="9"/>
  <c r="E170" i="9"/>
  <c r="C170" i="9"/>
  <c r="AB169" i="9"/>
  <c r="Z169" i="9"/>
  <c r="W169" i="9"/>
  <c r="U169" i="9"/>
  <c r="T169" i="9"/>
  <c r="S169" i="9"/>
  <c r="R169" i="9"/>
  <c r="Q169" i="9"/>
  <c r="P169" i="9"/>
  <c r="I169" i="9"/>
  <c r="E169" i="9"/>
  <c r="C169" i="9"/>
  <c r="AB168" i="9"/>
  <c r="Z168" i="9"/>
  <c r="W168" i="9"/>
  <c r="U168" i="9"/>
  <c r="T168" i="9"/>
  <c r="S168" i="9"/>
  <c r="R168" i="9"/>
  <c r="Q168" i="9"/>
  <c r="P168" i="9"/>
  <c r="I168" i="9"/>
  <c r="E168" i="9"/>
  <c r="C168" i="9"/>
  <c r="AB167" i="9"/>
  <c r="Z167" i="9"/>
  <c r="W167" i="9"/>
  <c r="U167" i="9"/>
  <c r="T167" i="9"/>
  <c r="S167" i="9"/>
  <c r="R167" i="9"/>
  <c r="Q167" i="9"/>
  <c r="P167" i="9"/>
  <c r="I167" i="9"/>
  <c r="E167" i="9"/>
  <c r="C167" i="9"/>
  <c r="AB166" i="9"/>
  <c r="Z166" i="9"/>
  <c r="W166" i="9"/>
  <c r="U166" i="9"/>
  <c r="T166" i="9"/>
  <c r="S166" i="9"/>
  <c r="R166" i="9"/>
  <c r="Q166" i="9"/>
  <c r="P166" i="9"/>
  <c r="I166" i="9"/>
  <c r="E166" i="9"/>
  <c r="C166" i="9"/>
  <c r="AB165" i="9"/>
  <c r="Z165" i="9"/>
  <c r="W165" i="9"/>
  <c r="U165" i="9"/>
  <c r="T165" i="9"/>
  <c r="S165" i="9"/>
  <c r="R165" i="9"/>
  <c r="Q165" i="9"/>
  <c r="P165" i="9"/>
  <c r="I165" i="9"/>
  <c r="E165" i="9"/>
  <c r="C165" i="9"/>
  <c r="AB164" i="9"/>
  <c r="Z164" i="9"/>
  <c r="W164" i="9"/>
  <c r="U164" i="9"/>
  <c r="T164" i="9"/>
  <c r="S164" i="9"/>
  <c r="R164" i="9"/>
  <c r="Q164" i="9"/>
  <c r="P164" i="9"/>
  <c r="I164" i="9"/>
  <c r="E164" i="9"/>
  <c r="C164" i="9"/>
  <c r="AB163" i="9"/>
  <c r="Z163" i="9"/>
  <c r="W163" i="9"/>
  <c r="U163" i="9"/>
  <c r="T163" i="9"/>
  <c r="S163" i="9"/>
  <c r="R163" i="9"/>
  <c r="Q163" i="9"/>
  <c r="P163" i="9"/>
  <c r="I163" i="9"/>
  <c r="E163" i="9"/>
  <c r="C163" i="9"/>
  <c r="AB162" i="9"/>
  <c r="Z162" i="9"/>
  <c r="W162" i="9"/>
  <c r="U162" i="9"/>
  <c r="T162" i="9"/>
  <c r="S162" i="9"/>
  <c r="R162" i="9"/>
  <c r="Q162" i="9"/>
  <c r="P162" i="9"/>
  <c r="I162" i="9"/>
  <c r="E162" i="9"/>
  <c r="C162" i="9"/>
  <c r="I161" i="9"/>
  <c r="U160" i="9"/>
  <c r="T160" i="9"/>
  <c r="S160" i="9"/>
  <c r="R160" i="9"/>
  <c r="Q160" i="9"/>
  <c r="P160" i="9"/>
  <c r="I160" i="9"/>
  <c r="E160" i="9"/>
  <c r="C160" i="9"/>
  <c r="U159" i="9"/>
  <c r="T159" i="9"/>
  <c r="S159" i="9"/>
  <c r="R159" i="9"/>
  <c r="Q159" i="9"/>
  <c r="P159" i="9"/>
  <c r="I159" i="9"/>
  <c r="E159" i="9"/>
  <c r="C159" i="9"/>
  <c r="AB158" i="9"/>
  <c r="Z158" i="9"/>
  <c r="W158" i="9"/>
  <c r="U158" i="9"/>
  <c r="T158" i="9"/>
  <c r="S158" i="9"/>
  <c r="R158" i="9"/>
  <c r="Q158" i="9"/>
  <c r="P158" i="9"/>
  <c r="I158" i="9"/>
  <c r="E158" i="9"/>
  <c r="C158" i="9"/>
  <c r="AB157" i="9"/>
  <c r="Z157" i="9"/>
  <c r="W157" i="9"/>
  <c r="U157" i="9"/>
  <c r="T157" i="9"/>
  <c r="S157" i="9"/>
  <c r="R157" i="9"/>
  <c r="Q157" i="9"/>
  <c r="P157" i="9"/>
  <c r="I157" i="9"/>
  <c r="E157" i="9"/>
  <c r="C157" i="9"/>
  <c r="AB156" i="9"/>
  <c r="Z156" i="9"/>
  <c r="W156" i="9"/>
  <c r="U156" i="9"/>
  <c r="T156" i="9"/>
  <c r="S156" i="9"/>
  <c r="R156" i="9"/>
  <c r="Q156" i="9"/>
  <c r="P156" i="9"/>
  <c r="I156" i="9"/>
  <c r="E156" i="9"/>
  <c r="C156" i="9"/>
  <c r="AB155" i="9"/>
  <c r="Z155" i="9"/>
  <c r="W155" i="9"/>
  <c r="U155" i="9"/>
  <c r="T155" i="9"/>
  <c r="S155" i="9"/>
  <c r="R155" i="9"/>
  <c r="Q155" i="9"/>
  <c r="P155" i="9"/>
  <c r="I155" i="9"/>
  <c r="E155" i="9"/>
  <c r="C155" i="9"/>
  <c r="AB154" i="9"/>
  <c r="Z154" i="9"/>
  <c r="W154" i="9"/>
  <c r="U154" i="9"/>
  <c r="T154" i="9"/>
  <c r="S154" i="9"/>
  <c r="R154" i="9"/>
  <c r="Q154" i="9"/>
  <c r="P154" i="9"/>
  <c r="I154" i="9"/>
  <c r="E154" i="9"/>
  <c r="C154" i="9"/>
  <c r="AB153" i="9"/>
  <c r="Z153" i="9"/>
  <c r="W153" i="9"/>
  <c r="U153" i="9"/>
  <c r="T153" i="9"/>
  <c r="S153" i="9"/>
  <c r="R153" i="9"/>
  <c r="Q153" i="9"/>
  <c r="P153" i="9"/>
  <c r="I153" i="9"/>
  <c r="E153" i="9"/>
  <c r="C153" i="9"/>
  <c r="AB152" i="9"/>
  <c r="Z152" i="9"/>
  <c r="W152" i="9"/>
  <c r="U152" i="9"/>
  <c r="T152" i="9"/>
  <c r="S152" i="9"/>
  <c r="R152" i="9"/>
  <c r="Q152" i="9"/>
  <c r="P152" i="9"/>
  <c r="I152" i="9"/>
  <c r="E152" i="9"/>
  <c r="C152" i="9"/>
  <c r="AB151" i="9"/>
  <c r="Z151" i="9"/>
  <c r="W151" i="9"/>
  <c r="U151" i="9"/>
  <c r="T151" i="9"/>
  <c r="S151" i="9"/>
  <c r="R151" i="9"/>
  <c r="Q151" i="9"/>
  <c r="P151" i="9"/>
  <c r="I151" i="9"/>
  <c r="E151" i="9"/>
  <c r="C151" i="9"/>
  <c r="AB150" i="9"/>
  <c r="Z150" i="9"/>
  <c r="W150" i="9"/>
  <c r="U150" i="9"/>
  <c r="T150" i="9"/>
  <c r="S150" i="9"/>
  <c r="R150" i="9"/>
  <c r="Q150" i="9"/>
  <c r="P150" i="9"/>
  <c r="I150" i="9"/>
  <c r="E150" i="9"/>
  <c r="C150" i="9"/>
  <c r="AB149" i="9"/>
  <c r="Z149" i="9"/>
  <c r="W149" i="9"/>
  <c r="U149" i="9"/>
  <c r="T149" i="9"/>
  <c r="S149" i="9"/>
  <c r="R149" i="9"/>
  <c r="Q149" i="9"/>
  <c r="P149" i="9"/>
  <c r="I149" i="9"/>
  <c r="E149" i="9"/>
  <c r="C149" i="9"/>
  <c r="AB148" i="9"/>
  <c r="Z148" i="9"/>
  <c r="W148" i="9"/>
  <c r="U148" i="9"/>
  <c r="T148" i="9"/>
  <c r="S148" i="9"/>
  <c r="R148" i="9"/>
  <c r="Q148" i="9"/>
  <c r="P148" i="9"/>
  <c r="I148" i="9"/>
  <c r="E148" i="9"/>
  <c r="C148" i="9"/>
  <c r="AB147" i="9"/>
  <c r="Z147" i="9"/>
  <c r="W147" i="9"/>
  <c r="U147" i="9"/>
  <c r="T147" i="9"/>
  <c r="S147" i="9"/>
  <c r="R147" i="9"/>
  <c r="Q147" i="9"/>
  <c r="P147" i="9"/>
  <c r="I147" i="9"/>
  <c r="E147" i="9"/>
  <c r="C147" i="9"/>
  <c r="AB146" i="9"/>
  <c r="Z146" i="9"/>
  <c r="W146" i="9"/>
  <c r="U146" i="9"/>
  <c r="T146" i="9"/>
  <c r="S146" i="9"/>
  <c r="R146" i="9"/>
  <c r="Q146" i="9"/>
  <c r="P146" i="9"/>
  <c r="I146" i="9"/>
  <c r="E146" i="9"/>
  <c r="C146" i="9"/>
  <c r="AB145" i="9"/>
  <c r="Z145" i="9"/>
  <c r="W145" i="9"/>
  <c r="U145" i="9"/>
  <c r="T145" i="9"/>
  <c r="S145" i="9"/>
  <c r="R145" i="9"/>
  <c r="Q145" i="9"/>
  <c r="P145" i="9"/>
  <c r="I145" i="9"/>
  <c r="E145" i="9"/>
  <c r="C145" i="9"/>
  <c r="AB144" i="9"/>
  <c r="Z144" i="9"/>
  <c r="W144" i="9"/>
  <c r="U144" i="9"/>
  <c r="T144" i="9"/>
  <c r="S144" i="9"/>
  <c r="R144" i="9"/>
  <c r="Q144" i="9"/>
  <c r="P144" i="9"/>
  <c r="I144" i="9"/>
  <c r="E144" i="9"/>
  <c r="C144" i="9"/>
  <c r="AB143" i="9"/>
  <c r="Z143" i="9"/>
  <c r="W143" i="9"/>
  <c r="U143" i="9"/>
  <c r="T143" i="9"/>
  <c r="S143" i="9"/>
  <c r="R143" i="9"/>
  <c r="Q143" i="9"/>
  <c r="P143" i="9"/>
  <c r="I143" i="9"/>
  <c r="E143" i="9"/>
  <c r="C143" i="9"/>
  <c r="AB142" i="9"/>
  <c r="Z142" i="9"/>
  <c r="W142" i="9"/>
  <c r="U142" i="9"/>
  <c r="T142" i="9"/>
  <c r="S142" i="9"/>
  <c r="R142" i="9"/>
  <c r="Q142" i="9"/>
  <c r="P142" i="9"/>
  <c r="I142" i="9"/>
  <c r="E142" i="9"/>
  <c r="C142" i="9"/>
  <c r="AB141" i="9"/>
  <c r="Z141" i="9"/>
  <c r="W141" i="9"/>
  <c r="U141" i="9"/>
  <c r="T141" i="9"/>
  <c r="S141" i="9"/>
  <c r="R141" i="9"/>
  <c r="Q141" i="9"/>
  <c r="P141" i="9"/>
  <c r="I141" i="9"/>
  <c r="E141" i="9"/>
  <c r="C141" i="9"/>
  <c r="AB140" i="9"/>
  <c r="Z140" i="9"/>
  <c r="W140" i="9"/>
  <c r="U140" i="9"/>
  <c r="T140" i="9"/>
  <c r="S140" i="9"/>
  <c r="R140" i="9"/>
  <c r="Q140" i="9"/>
  <c r="P140" i="9"/>
  <c r="I140" i="9"/>
  <c r="E140" i="9"/>
  <c r="C140" i="9"/>
  <c r="AB139" i="9"/>
  <c r="Z139" i="9"/>
  <c r="W139" i="9"/>
  <c r="U139" i="9"/>
  <c r="T139" i="9"/>
  <c r="S139" i="9"/>
  <c r="R139" i="9"/>
  <c r="Q139" i="9"/>
  <c r="P139" i="9"/>
  <c r="I139" i="9"/>
  <c r="E139" i="9"/>
  <c r="C139" i="9"/>
  <c r="AB138" i="9"/>
  <c r="Z138" i="9"/>
  <c r="W138" i="9"/>
  <c r="U138" i="9"/>
  <c r="T138" i="9"/>
  <c r="S138" i="9"/>
  <c r="R138" i="9"/>
  <c r="Q138" i="9"/>
  <c r="P138" i="9"/>
  <c r="I138" i="9"/>
  <c r="E138" i="9"/>
  <c r="C138" i="9"/>
  <c r="AB137" i="9"/>
  <c r="Z137" i="9"/>
  <c r="W137" i="9"/>
  <c r="U137" i="9"/>
  <c r="T137" i="9"/>
  <c r="S137" i="9"/>
  <c r="R137" i="9"/>
  <c r="Q137" i="9"/>
  <c r="P137" i="9"/>
  <c r="I137" i="9"/>
  <c r="E137" i="9"/>
  <c r="C137" i="9"/>
  <c r="AB136" i="9"/>
  <c r="Z136" i="9"/>
  <c r="W136" i="9"/>
  <c r="U136" i="9"/>
  <c r="T136" i="9"/>
  <c r="S136" i="9"/>
  <c r="R136" i="9"/>
  <c r="Q136" i="9"/>
  <c r="P136" i="9"/>
  <c r="I136" i="9"/>
  <c r="E136" i="9"/>
  <c r="C136" i="9"/>
  <c r="AB135" i="9"/>
  <c r="Z135" i="9"/>
  <c r="W135" i="9"/>
  <c r="U135" i="9"/>
  <c r="T135" i="9"/>
  <c r="S135" i="9"/>
  <c r="R135" i="9"/>
  <c r="Q135" i="9"/>
  <c r="P135" i="9"/>
  <c r="I135" i="9"/>
  <c r="E135" i="9"/>
  <c r="C135" i="9"/>
  <c r="AB134" i="9"/>
  <c r="Z134" i="9"/>
  <c r="W134" i="9"/>
  <c r="U134" i="9"/>
  <c r="T134" i="9"/>
  <c r="S134" i="9"/>
  <c r="R134" i="9"/>
  <c r="Q134" i="9"/>
  <c r="P134" i="9"/>
  <c r="I134" i="9"/>
  <c r="E134" i="9"/>
  <c r="C134" i="9"/>
  <c r="I133" i="9"/>
  <c r="U132" i="9"/>
  <c r="T132" i="9"/>
  <c r="S132" i="9"/>
  <c r="R132" i="9"/>
  <c r="Q132" i="9"/>
  <c r="P132" i="9"/>
  <c r="I132" i="9"/>
  <c r="E132" i="9"/>
  <c r="C132" i="9"/>
  <c r="U131" i="9"/>
  <c r="T131" i="9"/>
  <c r="S131" i="9"/>
  <c r="R131" i="9"/>
  <c r="Q131" i="9"/>
  <c r="P131" i="9"/>
  <c r="I131" i="9"/>
  <c r="E131" i="9"/>
  <c r="C131" i="9"/>
  <c r="AB130" i="9"/>
  <c r="Z130" i="9"/>
  <c r="W130" i="9"/>
  <c r="U130" i="9"/>
  <c r="T130" i="9"/>
  <c r="S130" i="9"/>
  <c r="R130" i="9"/>
  <c r="Q130" i="9"/>
  <c r="P130" i="9"/>
  <c r="I130" i="9"/>
  <c r="E130" i="9"/>
  <c r="C130" i="9"/>
  <c r="AB129" i="9"/>
  <c r="Z129" i="9"/>
  <c r="W129" i="9"/>
  <c r="U129" i="9"/>
  <c r="T129" i="9"/>
  <c r="S129" i="9"/>
  <c r="R129" i="9"/>
  <c r="Q129" i="9"/>
  <c r="P129" i="9"/>
  <c r="I129" i="9"/>
  <c r="E129" i="9"/>
  <c r="C129" i="9"/>
  <c r="AB128" i="9"/>
  <c r="Z128" i="9"/>
  <c r="W128" i="9"/>
  <c r="U128" i="9"/>
  <c r="T128" i="9"/>
  <c r="S128" i="9"/>
  <c r="R128" i="9"/>
  <c r="Q128" i="9"/>
  <c r="P128" i="9"/>
  <c r="I128" i="9"/>
  <c r="E128" i="9"/>
  <c r="C128" i="9"/>
  <c r="AB127" i="9"/>
  <c r="Z127" i="9"/>
  <c r="W127" i="9"/>
  <c r="U127" i="9"/>
  <c r="T127" i="9"/>
  <c r="S127" i="9"/>
  <c r="R127" i="9"/>
  <c r="Q127" i="9"/>
  <c r="P127" i="9"/>
  <c r="I127" i="9"/>
  <c r="E127" i="9"/>
  <c r="C127" i="9"/>
  <c r="AB126" i="9"/>
  <c r="Z126" i="9"/>
  <c r="W126" i="9"/>
  <c r="U126" i="9"/>
  <c r="T126" i="9"/>
  <c r="S126" i="9"/>
  <c r="R126" i="9"/>
  <c r="Q126" i="9"/>
  <c r="P126" i="9"/>
  <c r="I126" i="9"/>
  <c r="E126" i="9"/>
  <c r="C126" i="9"/>
  <c r="AB125" i="9"/>
  <c r="Z125" i="9"/>
  <c r="W125" i="9"/>
  <c r="U125" i="9"/>
  <c r="T125" i="9"/>
  <c r="S125" i="9"/>
  <c r="R125" i="9"/>
  <c r="Q125" i="9"/>
  <c r="P125" i="9"/>
  <c r="I125" i="9"/>
  <c r="E125" i="9"/>
  <c r="C125" i="9"/>
  <c r="AB124" i="9"/>
  <c r="Z124" i="9"/>
  <c r="W124" i="9"/>
  <c r="U124" i="9"/>
  <c r="T124" i="9"/>
  <c r="S124" i="9"/>
  <c r="R124" i="9"/>
  <c r="Q124" i="9"/>
  <c r="P124" i="9"/>
  <c r="I124" i="9"/>
  <c r="E124" i="9"/>
  <c r="C124" i="9"/>
  <c r="AB123" i="9"/>
  <c r="Z123" i="9"/>
  <c r="W123" i="9"/>
  <c r="U123" i="9"/>
  <c r="T123" i="9"/>
  <c r="S123" i="9"/>
  <c r="R123" i="9"/>
  <c r="Q123" i="9"/>
  <c r="P123" i="9"/>
  <c r="I123" i="9"/>
  <c r="E123" i="9"/>
  <c r="C123" i="9"/>
  <c r="AB122" i="9"/>
  <c r="Z122" i="9"/>
  <c r="W122" i="9"/>
  <c r="U122" i="9"/>
  <c r="T122" i="9"/>
  <c r="S122" i="9"/>
  <c r="R122" i="9"/>
  <c r="Q122" i="9"/>
  <c r="P122" i="9"/>
  <c r="I122" i="9"/>
  <c r="E122" i="9"/>
  <c r="C122" i="9"/>
  <c r="AB121" i="9"/>
  <c r="Z121" i="9"/>
  <c r="W121" i="9"/>
  <c r="U121" i="9"/>
  <c r="T121" i="9"/>
  <c r="S121" i="9"/>
  <c r="R121" i="9"/>
  <c r="Q121" i="9"/>
  <c r="P121" i="9"/>
  <c r="I121" i="9"/>
  <c r="E121" i="9"/>
  <c r="C121" i="9"/>
  <c r="AB120" i="9"/>
  <c r="Z120" i="9"/>
  <c r="W120" i="9"/>
  <c r="U120" i="9"/>
  <c r="T120" i="9"/>
  <c r="S120" i="9"/>
  <c r="R120" i="9"/>
  <c r="Q120" i="9"/>
  <c r="P120" i="9"/>
  <c r="I120" i="9"/>
  <c r="E120" i="9"/>
  <c r="C120" i="9"/>
  <c r="AB119" i="9"/>
  <c r="Z119" i="9"/>
  <c r="W119" i="9"/>
  <c r="U119" i="9"/>
  <c r="T119" i="9"/>
  <c r="S119" i="9"/>
  <c r="R119" i="9"/>
  <c r="Q119" i="9"/>
  <c r="P119" i="9"/>
  <c r="I119" i="9"/>
  <c r="E119" i="9"/>
  <c r="C119" i="9"/>
  <c r="AB118" i="9"/>
  <c r="Z118" i="9"/>
  <c r="W118" i="9"/>
  <c r="U118" i="9"/>
  <c r="T118" i="9"/>
  <c r="S118" i="9"/>
  <c r="R118" i="9"/>
  <c r="Q118" i="9"/>
  <c r="P118" i="9"/>
  <c r="I118" i="9"/>
  <c r="E118" i="9"/>
  <c r="C118" i="9"/>
  <c r="AB117" i="9"/>
  <c r="Z117" i="9"/>
  <c r="W117" i="9"/>
  <c r="U117" i="9"/>
  <c r="T117" i="9"/>
  <c r="S117" i="9"/>
  <c r="R117" i="9"/>
  <c r="Q117" i="9"/>
  <c r="P117" i="9"/>
  <c r="I117" i="9"/>
  <c r="E117" i="9"/>
  <c r="C117" i="9"/>
  <c r="AB116" i="9"/>
  <c r="Z116" i="9"/>
  <c r="W116" i="9"/>
  <c r="U116" i="9"/>
  <c r="T116" i="9"/>
  <c r="S116" i="9"/>
  <c r="R116" i="9"/>
  <c r="Q116" i="9"/>
  <c r="P116" i="9"/>
  <c r="I116" i="9"/>
  <c r="E116" i="9"/>
  <c r="C116" i="9"/>
  <c r="AB115" i="9"/>
  <c r="Z115" i="9"/>
  <c r="W115" i="9"/>
  <c r="U115" i="9"/>
  <c r="T115" i="9"/>
  <c r="S115" i="9"/>
  <c r="R115" i="9"/>
  <c r="Q115" i="9"/>
  <c r="P115" i="9"/>
  <c r="I115" i="9"/>
  <c r="E115" i="9"/>
  <c r="C115" i="9"/>
  <c r="AB114" i="9"/>
  <c r="Z114" i="9"/>
  <c r="W114" i="9"/>
  <c r="U114" i="9"/>
  <c r="T114" i="9"/>
  <c r="S114" i="9"/>
  <c r="R114" i="9"/>
  <c r="Q114" i="9"/>
  <c r="P114" i="9"/>
  <c r="I114" i="9"/>
  <c r="E114" i="9"/>
  <c r="C114" i="9"/>
  <c r="AB113" i="9"/>
  <c r="Z113" i="9"/>
  <c r="W113" i="9"/>
  <c r="U113" i="9"/>
  <c r="T113" i="9"/>
  <c r="S113" i="9"/>
  <c r="R113" i="9"/>
  <c r="Q113" i="9"/>
  <c r="P113" i="9"/>
  <c r="I113" i="9"/>
  <c r="E113" i="9"/>
  <c r="C113" i="9"/>
  <c r="AB112" i="9"/>
  <c r="Z112" i="9"/>
  <c r="W112" i="9"/>
  <c r="U112" i="9"/>
  <c r="T112" i="9"/>
  <c r="S112" i="9"/>
  <c r="R112" i="9"/>
  <c r="Q112" i="9"/>
  <c r="P112" i="9"/>
  <c r="I112" i="9"/>
  <c r="E112" i="9"/>
  <c r="C112" i="9"/>
  <c r="AB111" i="9"/>
  <c r="Z111" i="9"/>
  <c r="W111" i="9"/>
  <c r="U111" i="9"/>
  <c r="T111" i="9"/>
  <c r="S111" i="9"/>
  <c r="R111" i="9"/>
  <c r="Q111" i="9"/>
  <c r="P111" i="9"/>
  <c r="I111" i="9"/>
  <c r="E111" i="9"/>
  <c r="C111" i="9"/>
  <c r="AB110" i="9"/>
  <c r="Z110" i="9"/>
  <c r="W110" i="9"/>
  <c r="U110" i="9"/>
  <c r="T110" i="9"/>
  <c r="S110" i="9"/>
  <c r="R110" i="9"/>
  <c r="Q110" i="9"/>
  <c r="P110" i="9"/>
  <c r="I110" i="9"/>
  <c r="E110" i="9"/>
  <c r="C110" i="9"/>
  <c r="AB109" i="9"/>
  <c r="Z109" i="9"/>
  <c r="W109" i="9"/>
  <c r="U109" i="9"/>
  <c r="T109" i="9"/>
  <c r="S109" i="9"/>
  <c r="R109" i="9"/>
  <c r="Q109" i="9"/>
  <c r="P109" i="9"/>
  <c r="I109" i="9"/>
  <c r="E109" i="9"/>
  <c r="C109" i="9"/>
  <c r="AB108" i="9"/>
  <c r="Z108" i="9"/>
  <c r="W108" i="9"/>
  <c r="U108" i="9"/>
  <c r="T108" i="9"/>
  <c r="S108" i="9"/>
  <c r="R108" i="9"/>
  <c r="Q108" i="9"/>
  <c r="P108" i="9"/>
  <c r="I108" i="9"/>
  <c r="E108" i="9"/>
  <c r="C108" i="9"/>
  <c r="AB107" i="9"/>
  <c r="Z107" i="9"/>
  <c r="W107" i="9"/>
  <c r="U107" i="9"/>
  <c r="T107" i="9"/>
  <c r="S107" i="9"/>
  <c r="R107" i="9"/>
  <c r="Q107" i="9"/>
  <c r="P107" i="9"/>
  <c r="I107" i="9"/>
  <c r="E107" i="9"/>
  <c r="C107" i="9"/>
  <c r="AB106" i="9"/>
  <c r="Z106" i="9"/>
  <c r="W106" i="9"/>
  <c r="U106" i="9"/>
  <c r="T106" i="9"/>
  <c r="S106" i="9"/>
  <c r="R106" i="9"/>
  <c r="Q106" i="9"/>
  <c r="P106" i="9"/>
  <c r="I106" i="9"/>
  <c r="E106" i="9"/>
  <c r="C106" i="9"/>
  <c r="AB105" i="9"/>
  <c r="Z105" i="9"/>
  <c r="W105" i="9"/>
  <c r="U105" i="9"/>
  <c r="T105" i="9"/>
  <c r="S105" i="9"/>
  <c r="R105" i="9"/>
  <c r="Q105" i="9"/>
  <c r="P105" i="9"/>
  <c r="I105" i="9"/>
  <c r="E105" i="9"/>
  <c r="C105" i="9"/>
  <c r="AB104" i="9"/>
  <c r="Z104" i="9"/>
  <c r="W104" i="9"/>
  <c r="U104" i="9"/>
  <c r="T104" i="9"/>
  <c r="S104" i="9"/>
  <c r="R104" i="9"/>
  <c r="Q104" i="9"/>
  <c r="P104" i="9"/>
  <c r="I104" i="9"/>
  <c r="E104" i="9"/>
  <c r="C104" i="9"/>
  <c r="AB103" i="9"/>
  <c r="Z103" i="9"/>
  <c r="W103" i="9"/>
  <c r="U103" i="9"/>
  <c r="T103" i="9"/>
  <c r="S103" i="9"/>
  <c r="R103" i="9"/>
  <c r="Q103" i="9"/>
  <c r="P103" i="9"/>
  <c r="I103" i="9"/>
  <c r="E103" i="9"/>
  <c r="C103" i="9"/>
  <c r="AB102" i="9"/>
  <c r="Z102" i="9"/>
  <c r="W102" i="9"/>
  <c r="U102" i="9"/>
  <c r="T102" i="9"/>
  <c r="S102" i="9"/>
  <c r="R102" i="9"/>
  <c r="Q102" i="9"/>
  <c r="P102" i="9"/>
  <c r="I102" i="9"/>
  <c r="E102" i="9"/>
  <c r="C102" i="9"/>
  <c r="AB101" i="9"/>
  <c r="Z101" i="9"/>
  <c r="W101" i="9"/>
  <c r="U101" i="9"/>
  <c r="T101" i="9"/>
  <c r="S101" i="9"/>
  <c r="R101" i="9"/>
  <c r="Q101" i="9"/>
  <c r="P101" i="9"/>
  <c r="I101" i="9"/>
  <c r="E101" i="9"/>
  <c r="C101" i="9"/>
  <c r="AB100" i="9"/>
  <c r="Z100" i="9"/>
  <c r="W100" i="9"/>
  <c r="U100" i="9"/>
  <c r="T100" i="9"/>
  <c r="S100" i="9"/>
  <c r="R100" i="9"/>
  <c r="Q100" i="9"/>
  <c r="P100" i="9"/>
  <c r="I100" i="9"/>
  <c r="E100" i="9"/>
  <c r="C100" i="9"/>
  <c r="AB99" i="9"/>
  <c r="Z99" i="9"/>
  <c r="W99" i="9"/>
  <c r="U99" i="9"/>
  <c r="T99" i="9"/>
  <c r="S99" i="9"/>
  <c r="R99" i="9"/>
  <c r="Q99" i="9"/>
  <c r="P99" i="9"/>
  <c r="I99" i="9"/>
  <c r="E99" i="9"/>
  <c r="C99" i="9"/>
  <c r="AB98" i="9"/>
  <c r="Z98" i="9"/>
  <c r="W98" i="9"/>
  <c r="U98" i="9"/>
  <c r="T98" i="9"/>
  <c r="S98" i="9"/>
  <c r="R98" i="9"/>
  <c r="Q98" i="9"/>
  <c r="P98" i="9"/>
  <c r="I98" i="9"/>
  <c r="E98" i="9"/>
  <c r="C98" i="9"/>
  <c r="AB97" i="9"/>
  <c r="Z97" i="9"/>
  <c r="W97" i="9"/>
  <c r="U97" i="9"/>
  <c r="T97" i="9"/>
  <c r="S97" i="9"/>
  <c r="R97" i="9"/>
  <c r="Q97" i="9"/>
  <c r="P97" i="9"/>
  <c r="I97" i="9"/>
  <c r="E97" i="9"/>
  <c r="C97" i="9"/>
  <c r="AB96" i="9"/>
  <c r="Z96" i="9"/>
  <c r="W96" i="9"/>
  <c r="U96" i="9"/>
  <c r="T96" i="9"/>
  <c r="S96" i="9"/>
  <c r="R96" i="9"/>
  <c r="Q96" i="9"/>
  <c r="P96" i="9"/>
  <c r="I96" i="9"/>
  <c r="E96" i="9"/>
  <c r="C96" i="9"/>
  <c r="AB95" i="9"/>
  <c r="Z95" i="9"/>
  <c r="W95" i="9"/>
  <c r="U95" i="9"/>
  <c r="T95" i="9"/>
  <c r="S95" i="9"/>
  <c r="R95" i="9"/>
  <c r="Q95" i="9"/>
  <c r="P95" i="9"/>
  <c r="I95" i="9"/>
  <c r="E95" i="9"/>
  <c r="C95" i="9"/>
  <c r="I94" i="9"/>
  <c r="U93" i="9"/>
  <c r="T93" i="9"/>
  <c r="S93" i="9"/>
  <c r="R93" i="9"/>
  <c r="Q93" i="9"/>
  <c r="P93" i="9"/>
  <c r="I93" i="9"/>
  <c r="E93" i="9"/>
  <c r="C93" i="9"/>
  <c r="U92" i="9"/>
  <c r="T92" i="9"/>
  <c r="S92" i="9"/>
  <c r="R92" i="9"/>
  <c r="Q92" i="9"/>
  <c r="P92" i="9"/>
  <c r="I92" i="9"/>
  <c r="E92" i="9"/>
  <c r="C92" i="9"/>
  <c r="AB91" i="9"/>
  <c r="Z91" i="9"/>
  <c r="W91" i="9"/>
  <c r="U91" i="9"/>
  <c r="T91" i="9"/>
  <c r="S91" i="9"/>
  <c r="R91" i="9"/>
  <c r="Q91" i="9"/>
  <c r="P91" i="9"/>
  <c r="I91" i="9"/>
  <c r="E91" i="9"/>
  <c r="C91" i="9"/>
  <c r="AB90" i="9"/>
  <c r="Z90" i="9"/>
  <c r="W90" i="9"/>
  <c r="U90" i="9"/>
  <c r="T90" i="9"/>
  <c r="S90" i="9"/>
  <c r="R90" i="9"/>
  <c r="Q90" i="9"/>
  <c r="P90" i="9"/>
  <c r="I90" i="9"/>
  <c r="E90" i="9"/>
  <c r="C90" i="9"/>
  <c r="AB89" i="9"/>
  <c r="Z89" i="9"/>
  <c r="W89" i="9"/>
  <c r="U89" i="9"/>
  <c r="T89" i="9"/>
  <c r="S89" i="9"/>
  <c r="R89" i="9"/>
  <c r="Q89" i="9"/>
  <c r="P89" i="9"/>
  <c r="I89" i="9"/>
  <c r="E89" i="9"/>
  <c r="C89" i="9"/>
  <c r="AB88" i="9"/>
  <c r="Z88" i="9"/>
  <c r="W88" i="9"/>
  <c r="U88" i="9"/>
  <c r="T88" i="9"/>
  <c r="S88" i="9"/>
  <c r="R88" i="9"/>
  <c r="Q88" i="9"/>
  <c r="P88" i="9"/>
  <c r="I88" i="9"/>
  <c r="E88" i="9"/>
  <c r="C88" i="9"/>
  <c r="AB87" i="9"/>
  <c r="Z87" i="9"/>
  <c r="W87" i="9"/>
  <c r="U87" i="9"/>
  <c r="T87" i="9"/>
  <c r="S87" i="9"/>
  <c r="R87" i="9"/>
  <c r="Q87" i="9"/>
  <c r="P87" i="9"/>
  <c r="I87" i="9"/>
  <c r="E87" i="9"/>
  <c r="C87" i="9"/>
  <c r="AB86" i="9"/>
  <c r="Z86" i="9"/>
  <c r="W86" i="9"/>
  <c r="U86" i="9"/>
  <c r="T86" i="9"/>
  <c r="S86" i="9"/>
  <c r="R86" i="9"/>
  <c r="Q86" i="9"/>
  <c r="P86" i="9"/>
  <c r="I86" i="9"/>
  <c r="E86" i="9"/>
  <c r="C86" i="9"/>
  <c r="AB85" i="9"/>
  <c r="Z85" i="9"/>
  <c r="W85" i="9"/>
  <c r="U85" i="9"/>
  <c r="T85" i="9"/>
  <c r="S85" i="9"/>
  <c r="R85" i="9"/>
  <c r="Q85" i="9"/>
  <c r="P85" i="9"/>
  <c r="I85" i="9"/>
  <c r="E85" i="9"/>
  <c r="C85" i="9"/>
  <c r="AB84" i="9"/>
  <c r="Z84" i="9"/>
  <c r="W84" i="9"/>
  <c r="U84" i="9"/>
  <c r="T84" i="9"/>
  <c r="S84" i="9"/>
  <c r="R84" i="9"/>
  <c r="Q84" i="9"/>
  <c r="P84" i="9"/>
  <c r="I84" i="9"/>
  <c r="E84" i="9"/>
  <c r="C84" i="9"/>
  <c r="AB83" i="9"/>
  <c r="Z83" i="9"/>
  <c r="W83" i="9"/>
  <c r="U83" i="9"/>
  <c r="T83" i="9"/>
  <c r="S83" i="9"/>
  <c r="R83" i="9"/>
  <c r="Q83" i="9"/>
  <c r="P83" i="9"/>
  <c r="I83" i="9"/>
  <c r="E83" i="9"/>
  <c r="C83" i="9"/>
  <c r="AB82" i="9"/>
  <c r="Z82" i="9"/>
  <c r="W82" i="9"/>
  <c r="U82" i="9"/>
  <c r="T82" i="9"/>
  <c r="S82" i="9"/>
  <c r="R82" i="9"/>
  <c r="Q82" i="9"/>
  <c r="P82" i="9"/>
  <c r="I82" i="9"/>
  <c r="E82" i="9"/>
  <c r="C82" i="9"/>
  <c r="AB81" i="9"/>
  <c r="Z81" i="9"/>
  <c r="W81" i="9"/>
  <c r="U81" i="9"/>
  <c r="T81" i="9"/>
  <c r="S81" i="9"/>
  <c r="R81" i="9"/>
  <c r="Q81" i="9"/>
  <c r="P81" i="9"/>
  <c r="I81" i="9"/>
  <c r="E81" i="9"/>
  <c r="C81" i="9"/>
  <c r="AB80" i="9"/>
  <c r="Z80" i="9"/>
  <c r="W80" i="9"/>
  <c r="U80" i="9"/>
  <c r="T80" i="9"/>
  <c r="S80" i="9"/>
  <c r="R80" i="9"/>
  <c r="Q80" i="9"/>
  <c r="P80" i="9"/>
  <c r="I80" i="9"/>
  <c r="E80" i="9"/>
  <c r="C80" i="9"/>
  <c r="AB79" i="9"/>
  <c r="Z79" i="9"/>
  <c r="W79" i="9"/>
  <c r="U79" i="9"/>
  <c r="T79" i="9"/>
  <c r="S79" i="9"/>
  <c r="R79" i="9"/>
  <c r="Q79" i="9"/>
  <c r="P79" i="9"/>
  <c r="I79" i="9"/>
  <c r="E79" i="9"/>
  <c r="C79" i="9"/>
  <c r="AB78" i="9"/>
  <c r="Z78" i="9"/>
  <c r="W78" i="9"/>
  <c r="U78" i="9"/>
  <c r="T78" i="9"/>
  <c r="S78" i="9"/>
  <c r="R78" i="9"/>
  <c r="Q78" i="9"/>
  <c r="P78" i="9"/>
  <c r="I78" i="9"/>
  <c r="E78" i="9"/>
  <c r="C78" i="9"/>
  <c r="AB77" i="9"/>
  <c r="Z77" i="9"/>
  <c r="W77" i="9"/>
  <c r="U77" i="9"/>
  <c r="T77" i="9"/>
  <c r="S77" i="9"/>
  <c r="R77" i="9"/>
  <c r="Q77" i="9"/>
  <c r="P77" i="9"/>
  <c r="I77" i="9"/>
  <c r="E77" i="9"/>
  <c r="C77" i="9"/>
  <c r="AB76" i="9"/>
  <c r="Z76" i="9"/>
  <c r="W76" i="9"/>
  <c r="U76" i="9"/>
  <c r="T76" i="9"/>
  <c r="S76" i="9"/>
  <c r="R76" i="9"/>
  <c r="Q76" i="9"/>
  <c r="P76" i="9"/>
  <c r="I76" i="9"/>
  <c r="E76" i="9"/>
  <c r="C76" i="9"/>
  <c r="AB75" i="9"/>
  <c r="Z75" i="9"/>
  <c r="W75" i="9"/>
  <c r="U75" i="9"/>
  <c r="T75" i="9"/>
  <c r="S75" i="9"/>
  <c r="R75" i="9"/>
  <c r="Q75" i="9"/>
  <c r="P75" i="9"/>
  <c r="I75" i="9"/>
  <c r="E75" i="9"/>
  <c r="C75" i="9"/>
  <c r="AB74" i="9"/>
  <c r="Z74" i="9"/>
  <c r="W74" i="9"/>
  <c r="U74" i="9"/>
  <c r="T74" i="9"/>
  <c r="S74" i="9"/>
  <c r="R74" i="9"/>
  <c r="Q74" i="9"/>
  <c r="P74" i="9"/>
  <c r="I74" i="9"/>
  <c r="E74" i="9"/>
  <c r="C74" i="9"/>
  <c r="AB73" i="9"/>
  <c r="Z73" i="9"/>
  <c r="W73" i="9"/>
  <c r="U73" i="9"/>
  <c r="T73" i="9"/>
  <c r="S73" i="9"/>
  <c r="R73" i="9"/>
  <c r="Q73" i="9"/>
  <c r="P73" i="9"/>
  <c r="I73" i="9"/>
  <c r="E73" i="9"/>
  <c r="C73" i="9"/>
  <c r="AB72" i="9"/>
  <c r="Z72" i="9"/>
  <c r="W72" i="9"/>
  <c r="U72" i="9"/>
  <c r="T72" i="9"/>
  <c r="S72" i="9"/>
  <c r="R72" i="9"/>
  <c r="Q72" i="9"/>
  <c r="P72" i="9"/>
  <c r="I72" i="9"/>
  <c r="E72" i="9"/>
  <c r="C72" i="9"/>
  <c r="U70" i="9"/>
  <c r="T70" i="9"/>
  <c r="S70" i="9"/>
  <c r="R70" i="9"/>
  <c r="Q70" i="9"/>
  <c r="P70" i="9"/>
  <c r="I70" i="9"/>
  <c r="E70" i="9"/>
  <c r="C70" i="9"/>
  <c r="U69" i="9"/>
  <c r="T69" i="9"/>
  <c r="S69" i="9"/>
  <c r="R69" i="9"/>
  <c r="Q69" i="9"/>
  <c r="P69" i="9"/>
  <c r="I69" i="9"/>
  <c r="E69" i="9"/>
  <c r="C69" i="9"/>
  <c r="AB68" i="9"/>
  <c r="Z68" i="9"/>
  <c r="W68" i="9"/>
  <c r="U68" i="9"/>
  <c r="T68" i="9"/>
  <c r="S68" i="9"/>
  <c r="R68" i="9"/>
  <c r="Q68" i="9"/>
  <c r="P68" i="9"/>
  <c r="I68" i="9"/>
  <c r="E68" i="9"/>
  <c r="C68" i="9"/>
  <c r="AB67" i="9"/>
  <c r="Z67" i="9"/>
  <c r="W67" i="9"/>
  <c r="U67" i="9"/>
  <c r="T67" i="9"/>
  <c r="S67" i="9"/>
  <c r="R67" i="9"/>
  <c r="Q67" i="9"/>
  <c r="P67" i="9"/>
  <c r="I67" i="9"/>
  <c r="E67" i="9"/>
  <c r="C67" i="9"/>
  <c r="AB66" i="9"/>
  <c r="Z66" i="9"/>
  <c r="W66" i="9"/>
  <c r="U66" i="9"/>
  <c r="T66" i="9"/>
  <c r="S66" i="9"/>
  <c r="R66" i="9"/>
  <c r="Q66" i="9"/>
  <c r="P66" i="9"/>
  <c r="I66" i="9"/>
  <c r="E66" i="9"/>
  <c r="C66" i="9"/>
  <c r="AB65" i="9"/>
  <c r="Z65" i="9"/>
  <c r="W65" i="9"/>
  <c r="U65" i="9"/>
  <c r="T65" i="9"/>
  <c r="S65" i="9"/>
  <c r="R65" i="9"/>
  <c r="Q65" i="9"/>
  <c r="P65" i="9"/>
  <c r="I65" i="9"/>
  <c r="E65" i="9"/>
  <c r="C65" i="9"/>
  <c r="AB64" i="9"/>
  <c r="Z64" i="9"/>
  <c r="W64" i="9"/>
  <c r="U64" i="9"/>
  <c r="T64" i="9"/>
  <c r="S64" i="9"/>
  <c r="R64" i="9"/>
  <c r="Q64" i="9"/>
  <c r="P64" i="9"/>
  <c r="I64" i="9"/>
  <c r="E64" i="9"/>
  <c r="C64" i="9"/>
  <c r="AB63" i="9"/>
  <c r="Z63" i="9"/>
  <c r="W63" i="9"/>
  <c r="U63" i="9"/>
  <c r="T63" i="9"/>
  <c r="S63" i="9"/>
  <c r="R63" i="9"/>
  <c r="Q63" i="9"/>
  <c r="P63" i="9"/>
  <c r="I63" i="9"/>
  <c r="E63" i="9"/>
  <c r="C63" i="9"/>
  <c r="AB62" i="9"/>
  <c r="Z62" i="9"/>
  <c r="W62" i="9"/>
  <c r="U62" i="9"/>
  <c r="T62" i="9"/>
  <c r="S62" i="9"/>
  <c r="R62" i="9"/>
  <c r="Q62" i="9"/>
  <c r="P62" i="9"/>
  <c r="I62" i="9"/>
  <c r="E62" i="9"/>
  <c r="C62" i="9"/>
  <c r="AB61" i="9"/>
  <c r="Z61" i="9"/>
  <c r="W61" i="9"/>
  <c r="U61" i="9"/>
  <c r="T61" i="9"/>
  <c r="S61" i="9"/>
  <c r="R61" i="9"/>
  <c r="Q61" i="9"/>
  <c r="P61" i="9"/>
  <c r="I61" i="9"/>
  <c r="E61" i="9"/>
  <c r="C61" i="9"/>
  <c r="AB60" i="9"/>
  <c r="Z60" i="9"/>
  <c r="W60" i="9"/>
  <c r="U60" i="9"/>
  <c r="T60" i="9"/>
  <c r="S60" i="9"/>
  <c r="R60" i="9"/>
  <c r="Q60" i="9"/>
  <c r="P60" i="9"/>
  <c r="I60" i="9"/>
  <c r="E60" i="9"/>
  <c r="C60" i="9"/>
  <c r="AB59" i="9"/>
  <c r="Z59" i="9"/>
  <c r="W59" i="9"/>
  <c r="U59" i="9"/>
  <c r="T59" i="9"/>
  <c r="S59" i="9"/>
  <c r="R59" i="9"/>
  <c r="Q59" i="9"/>
  <c r="P59" i="9"/>
  <c r="I59" i="9"/>
  <c r="E59" i="9"/>
  <c r="C59" i="9"/>
  <c r="AB58" i="9"/>
  <c r="Z58" i="9"/>
  <c r="W58" i="9"/>
  <c r="U58" i="9"/>
  <c r="T58" i="9"/>
  <c r="S58" i="9"/>
  <c r="R58" i="9"/>
  <c r="Q58" i="9"/>
  <c r="P58" i="9"/>
  <c r="I58" i="9"/>
  <c r="E58" i="9"/>
  <c r="C58" i="9"/>
  <c r="AB57" i="9"/>
  <c r="Z57" i="9"/>
  <c r="W57" i="9"/>
  <c r="U57" i="9"/>
  <c r="T57" i="9"/>
  <c r="S57" i="9"/>
  <c r="R57" i="9"/>
  <c r="Q57" i="9"/>
  <c r="P57" i="9"/>
  <c r="I57" i="9"/>
  <c r="E57" i="9"/>
  <c r="C57" i="9"/>
  <c r="AB56" i="9"/>
  <c r="Z56" i="9"/>
  <c r="W56" i="9"/>
  <c r="U56" i="9"/>
  <c r="T56" i="9"/>
  <c r="S56" i="9"/>
  <c r="R56" i="9"/>
  <c r="Q56" i="9"/>
  <c r="P56" i="9"/>
  <c r="I56" i="9"/>
  <c r="E56" i="9"/>
  <c r="C56" i="9"/>
  <c r="AB55" i="9"/>
  <c r="Z55" i="9"/>
  <c r="W55" i="9"/>
  <c r="U55" i="9"/>
  <c r="T55" i="9"/>
  <c r="S55" i="9"/>
  <c r="R55" i="9"/>
  <c r="Q55" i="9"/>
  <c r="P55" i="9"/>
  <c r="I55" i="9"/>
  <c r="E55" i="9"/>
  <c r="C55" i="9"/>
  <c r="AB54" i="9"/>
  <c r="Z54" i="9"/>
  <c r="W54" i="9"/>
  <c r="U54" i="9"/>
  <c r="T54" i="9"/>
  <c r="S54" i="9"/>
  <c r="R54" i="9"/>
  <c r="Q54" i="9"/>
  <c r="P54" i="9"/>
  <c r="I54" i="9"/>
  <c r="E54" i="9"/>
  <c r="C54" i="9"/>
  <c r="U52" i="9"/>
  <c r="T52" i="9"/>
  <c r="S52" i="9"/>
  <c r="R52" i="9"/>
  <c r="Q52" i="9"/>
  <c r="P52" i="9"/>
  <c r="C52" i="9"/>
  <c r="U51" i="9"/>
  <c r="T51" i="9"/>
  <c r="S51" i="9"/>
  <c r="R51" i="9"/>
  <c r="Q51" i="9"/>
  <c r="P51" i="9"/>
  <c r="C51" i="9"/>
  <c r="AB50" i="9"/>
  <c r="Z50" i="9"/>
  <c r="W50" i="9"/>
  <c r="U50" i="9"/>
  <c r="T50" i="9"/>
  <c r="S50" i="9"/>
  <c r="R50" i="9"/>
  <c r="Q50" i="9"/>
  <c r="P50" i="9"/>
  <c r="I50" i="9"/>
  <c r="C50" i="9"/>
  <c r="AB49" i="9"/>
  <c r="Z49" i="9"/>
  <c r="W49" i="9"/>
  <c r="U49" i="9"/>
  <c r="T49" i="9"/>
  <c r="S49" i="9"/>
  <c r="R49" i="9"/>
  <c r="Q49" i="9"/>
  <c r="P49" i="9"/>
  <c r="I49" i="9"/>
  <c r="C49" i="9"/>
  <c r="AB48" i="9"/>
  <c r="Z48" i="9"/>
  <c r="W48" i="9"/>
  <c r="U48" i="9"/>
  <c r="T48" i="9"/>
  <c r="S48" i="9"/>
  <c r="R48" i="9"/>
  <c r="Q48" i="9"/>
  <c r="P48" i="9"/>
  <c r="I48" i="9"/>
  <c r="C48" i="9"/>
  <c r="AB47" i="9"/>
  <c r="Z47" i="9"/>
  <c r="W47" i="9"/>
  <c r="U47" i="9"/>
  <c r="T47" i="9"/>
  <c r="S47" i="9"/>
  <c r="R47" i="9"/>
  <c r="Q47" i="9"/>
  <c r="P47" i="9"/>
  <c r="I47" i="9"/>
  <c r="C47" i="9"/>
  <c r="AB46" i="9"/>
  <c r="Z46" i="9"/>
  <c r="W46" i="9"/>
  <c r="U46" i="9"/>
  <c r="T46" i="9"/>
  <c r="S46" i="9"/>
  <c r="R46" i="9"/>
  <c r="Q46" i="9"/>
  <c r="P46" i="9"/>
  <c r="I46" i="9"/>
  <c r="C46" i="9"/>
  <c r="AB45" i="9"/>
  <c r="Z45" i="9"/>
  <c r="W45" i="9"/>
  <c r="U45" i="9"/>
  <c r="T45" i="9"/>
  <c r="S45" i="9"/>
  <c r="R45" i="9"/>
  <c r="Q45" i="9"/>
  <c r="P45" i="9"/>
  <c r="I45" i="9"/>
  <c r="C45" i="9"/>
  <c r="AB44" i="9"/>
  <c r="Z44" i="9"/>
  <c r="W44" i="9"/>
  <c r="U44" i="9"/>
  <c r="T44" i="9"/>
  <c r="S44" i="9"/>
  <c r="R44" i="9"/>
  <c r="Q44" i="9"/>
  <c r="P44" i="9"/>
  <c r="I44" i="9"/>
  <c r="C44" i="9"/>
  <c r="AB43" i="9"/>
  <c r="Z43" i="9"/>
  <c r="W43" i="9"/>
  <c r="U43" i="9"/>
  <c r="T43" i="9"/>
  <c r="S43" i="9"/>
  <c r="R43" i="9"/>
  <c r="Q43" i="9"/>
  <c r="P43" i="9"/>
  <c r="I43" i="9"/>
  <c r="C43" i="9"/>
  <c r="AB42" i="9"/>
  <c r="Z42" i="9"/>
  <c r="W42" i="9"/>
  <c r="U42" i="9"/>
  <c r="T42" i="9"/>
  <c r="S42" i="9"/>
  <c r="R42" i="9"/>
  <c r="Q42" i="9"/>
  <c r="P42" i="9"/>
  <c r="I42" i="9"/>
  <c r="C42" i="9"/>
  <c r="U40" i="9"/>
  <c r="T40" i="9"/>
  <c r="S40" i="9"/>
  <c r="R40" i="9"/>
  <c r="Q40" i="9"/>
  <c r="P40" i="9"/>
  <c r="C40" i="9"/>
  <c r="U39" i="9"/>
  <c r="T39" i="9"/>
  <c r="S39" i="9"/>
  <c r="R39" i="9"/>
  <c r="Q39" i="9"/>
  <c r="P39" i="9"/>
  <c r="C39" i="9"/>
  <c r="AB38" i="9"/>
  <c r="Z38" i="9"/>
  <c r="W38" i="9"/>
  <c r="U38" i="9"/>
  <c r="T38" i="9"/>
  <c r="S38" i="9"/>
  <c r="R38" i="9"/>
  <c r="Q38" i="9"/>
  <c r="P38" i="9"/>
  <c r="C38" i="9"/>
  <c r="AB37" i="9"/>
  <c r="Z37" i="9"/>
  <c r="W37" i="9"/>
  <c r="U37" i="9"/>
  <c r="T37" i="9"/>
  <c r="S37" i="9"/>
  <c r="R37" i="9"/>
  <c r="Q37" i="9"/>
  <c r="P37" i="9"/>
  <c r="C37" i="9"/>
  <c r="AB36" i="9"/>
  <c r="Z36" i="9"/>
  <c r="W36" i="9"/>
  <c r="U36" i="9"/>
  <c r="T36" i="9"/>
  <c r="S36" i="9"/>
  <c r="R36" i="9"/>
  <c r="Q36" i="9"/>
  <c r="P36" i="9"/>
  <c r="C36" i="9"/>
  <c r="AB35" i="9"/>
  <c r="Z35" i="9"/>
  <c r="W35" i="9"/>
  <c r="U35" i="9"/>
  <c r="T35" i="9"/>
  <c r="S35" i="9"/>
  <c r="R35" i="9"/>
  <c r="Q35" i="9"/>
  <c r="P35" i="9"/>
  <c r="C35" i="9"/>
  <c r="AB34" i="9"/>
  <c r="Z34" i="9"/>
  <c r="W34" i="9"/>
  <c r="U34" i="9"/>
  <c r="T34" i="9"/>
  <c r="S34" i="9"/>
  <c r="R34" i="9"/>
  <c r="Q34" i="9"/>
  <c r="P34" i="9"/>
  <c r="C34" i="9"/>
  <c r="AB33" i="9"/>
  <c r="Z33" i="9"/>
  <c r="W33" i="9"/>
  <c r="U33" i="9"/>
  <c r="T33" i="9"/>
  <c r="S33" i="9"/>
  <c r="R33" i="9"/>
  <c r="Q33" i="9"/>
  <c r="P33" i="9"/>
  <c r="C33" i="9"/>
  <c r="AB32" i="9"/>
  <c r="Z32" i="9"/>
  <c r="W32" i="9"/>
  <c r="U32" i="9"/>
  <c r="T32" i="9"/>
  <c r="S32" i="9"/>
  <c r="R32" i="9"/>
  <c r="Q32" i="9"/>
  <c r="P32" i="9"/>
  <c r="C32" i="9"/>
  <c r="AB31" i="9"/>
  <c r="Z31" i="9"/>
  <c r="W31" i="9"/>
  <c r="U31" i="9"/>
  <c r="T31" i="9"/>
  <c r="S31" i="9"/>
  <c r="R31" i="9"/>
  <c r="Q31" i="9"/>
  <c r="P31" i="9"/>
  <c r="C31" i="9"/>
  <c r="AB30" i="9"/>
  <c r="Z30" i="9"/>
  <c r="W30" i="9"/>
  <c r="U30" i="9"/>
  <c r="T30" i="9"/>
  <c r="S30" i="9"/>
  <c r="R30" i="9"/>
  <c r="Q30" i="9"/>
  <c r="P30" i="9"/>
  <c r="C30" i="9"/>
  <c r="AB29" i="9"/>
  <c r="Z29" i="9"/>
  <c r="W29" i="9"/>
  <c r="U29" i="9"/>
  <c r="T29" i="9"/>
  <c r="S29" i="9"/>
  <c r="R29" i="9"/>
  <c r="Q29" i="9"/>
  <c r="P29" i="9"/>
  <c r="C29" i="9"/>
  <c r="AB28" i="9"/>
  <c r="Z28" i="9"/>
  <c r="W28" i="9"/>
  <c r="U28" i="9"/>
  <c r="T28" i="9"/>
  <c r="S28" i="9"/>
  <c r="R28" i="9"/>
  <c r="Q28" i="9"/>
  <c r="P28" i="9"/>
  <c r="C28" i="9"/>
  <c r="AB27" i="9"/>
  <c r="Z27" i="9"/>
  <c r="W27" i="9"/>
  <c r="U27" i="9"/>
  <c r="T27" i="9"/>
  <c r="S27" i="9"/>
  <c r="R27" i="9"/>
  <c r="Q27" i="9"/>
  <c r="P27" i="9"/>
  <c r="C27" i="9"/>
  <c r="C25" i="9"/>
  <c r="C24" i="9"/>
  <c r="AB23" i="9"/>
  <c r="Z23" i="9"/>
  <c r="W23" i="9"/>
  <c r="U23" i="9"/>
  <c r="T23" i="9"/>
  <c r="S23" i="9"/>
  <c r="R23" i="9"/>
  <c r="Q23" i="9"/>
  <c r="P23" i="9"/>
  <c r="C23" i="9"/>
  <c r="AB22" i="9"/>
  <c r="Z22" i="9"/>
  <c r="W22" i="9"/>
  <c r="U22" i="9"/>
  <c r="T22" i="9"/>
  <c r="S22" i="9"/>
  <c r="R22" i="9"/>
  <c r="Q22" i="9"/>
  <c r="P22" i="9"/>
  <c r="C22" i="9"/>
  <c r="AB21" i="9"/>
  <c r="Z21" i="9"/>
  <c r="W21" i="9"/>
  <c r="U21" i="9"/>
  <c r="T21" i="9"/>
  <c r="S21" i="9"/>
  <c r="R21" i="9"/>
  <c r="Q21" i="9"/>
  <c r="P21" i="9"/>
  <c r="C21" i="9"/>
  <c r="AB20" i="9"/>
  <c r="Z20" i="9"/>
  <c r="W20" i="9"/>
  <c r="U20" i="9"/>
  <c r="T20" i="9"/>
  <c r="S20" i="9"/>
  <c r="R20" i="9"/>
  <c r="Q20" i="9"/>
  <c r="P20" i="9"/>
  <c r="C20" i="9"/>
  <c r="AB19" i="9"/>
  <c r="Z19" i="9"/>
  <c r="W19" i="9"/>
  <c r="U19" i="9"/>
  <c r="T19" i="9"/>
  <c r="S19" i="9"/>
  <c r="R19" i="9"/>
  <c r="Q19" i="9"/>
  <c r="P19" i="9"/>
  <c r="C19" i="9"/>
  <c r="AB18" i="9"/>
  <c r="Z18" i="9"/>
  <c r="W18" i="9"/>
  <c r="U18" i="9"/>
  <c r="T18" i="9"/>
  <c r="S18" i="9"/>
  <c r="R18" i="9"/>
  <c r="Q18" i="9"/>
  <c r="P18" i="9"/>
  <c r="C18" i="9"/>
  <c r="AB17" i="9"/>
  <c r="Z17" i="9"/>
  <c r="W17" i="9"/>
  <c r="U17" i="9"/>
  <c r="T17" i="9"/>
  <c r="S17" i="9"/>
  <c r="R17" i="9"/>
  <c r="Q17" i="9"/>
  <c r="P17" i="9"/>
  <c r="C17" i="9"/>
  <c r="AB16" i="9"/>
  <c r="Z16" i="9"/>
  <c r="W16" i="9"/>
  <c r="U16" i="9"/>
  <c r="T16" i="9"/>
  <c r="S16" i="9"/>
  <c r="R16" i="9"/>
  <c r="Q16" i="9"/>
  <c r="P16" i="9"/>
  <c r="C16" i="9"/>
  <c r="AB15" i="9"/>
  <c r="Z15" i="9"/>
  <c r="W15" i="9"/>
  <c r="U15" i="9"/>
  <c r="T15" i="9"/>
  <c r="S15" i="9"/>
  <c r="R15" i="9"/>
  <c r="Q15" i="9"/>
  <c r="P15" i="9"/>
  <c r="C15" i="9"/>
  <c r="AB14" i="9"/>
  <c r="Z14" i="9"/>
  <c r="W14" i="9"/>
  <c r="U14" i="9"/>
  <c r="T14" i="9"/>
  <c r="S14" i="9"/>
  <c r="R14" i="9"/>
  <c r="Q14" i="9"/>
  <c r="P14" i="9"/>
  <c r="C14" i="9"/>
  <c r="AB13" i="9"/>
  <c r="Z13" i="9"/>
  <c r="W13" i="9"/>
  <c r="U13" i="9"/>
  <c r="T13" i="9"/>
  <c r="S13" i="9"/>
  <c r="R13" i="9"/>
  <c r="Q13" i="9"/>
  <c r="P13" i="9"/>
  <c r="C13" i="9"/>
  <c r="AB12" i="9"/>
  <c r="Z12" i="9"/>
  <c r="W12" i="9"/>
  <c r="U12" i="9"/>
  <c r="T12" i="9"/>
  <c r="S12" i="9"/>
  <c r="R12" i="9"/>
  <c r="Q12" i="9"/>
  <c r="P12" i="9"/>
  <c r="C12" i="9"/>
  <c r="Z226" i="7"/>
  <c r="AB225" i="7"/>
  <c r="Z225" i="7"/>
  <c r="Z221" i="7"/>
  <c r="AB163" i="7"/>
  <c r="AB164" i="7"/>
  <c r="AB165" i="7"/>
  <c r="AB166" i="7"/>
  <c r="AB167" i="7"/>
  <c r="AB168" i="7"/>
  <c r="AB169" i="7"/>
  <c r="AB170" i="7"/>
  <c r="AB171" i="7"/>
  <c r="AB172" i="7"/>
  <c r="AB173" i="7"/>
  <c r="AB174" i="7"/>
  <c r="AB175" i="7"/>
  <c r="AB176" i="7"/>
  <c r="AB177" i="7"/>
  <c r="AB178" i="7"/>
  <c r="AB179" i="7"/>
  <c r="AB180" i="7"/>
  <c r="AB181" i="7"/>
  <c r="AB182" i="7"/>
  <c r="AB183" i="7"/>
  <c r="AB184" i="7"/>
  <c r="AB185" i="7"/>
  <c r="AB186" i="7"/>
  <c r="AB187" i="7"/>
  <c r="AB188" i="7"/>
  <c r="AB189" i="7"/>
  <c r="AB190" i="7"/>
  <c r="AB191" i="7"/>
  <c r="AB192" i="7"/>
  <c r="AB193" i="7"/>
  <c r="AB194" i="7"/>
  <c r="AB195" i="7"/>
  <c r="AB196" i="7"/>
  <c r="AB197" i="7"/>
  <c r="AB198" i="7"/>
  <c r="AB199" i="7"/>
  <c r="AB200" i="7"/>
  <c r="AB201" i="7"/>
  <c r="AB202" i="7"/>
  <c r="AB203" i="7"/>
  <c r="AB204" i="7"/>
  <c r="AB205" i="7"/>
  <c r="AB206" i="7"/>
  <c r="AB207" i="7"/>
  <c r="AB208" i="7"/>
  <c r="AB209" i="7"/>
  <c r="AB210" i="7"/>
  <c r="AB211" i="7"/>
  <c r="AB212" i="7"/>
  <c r="AB213" i="7"/>
  <c r="AB214" i="7"/>
  <c r="AB215" i="7"/>
  <c r="AB216" i="7"/>
  <c r="AB217" i="7"/>
  <c r="AB218" i="7"/>
  <c r="AB219" i="7"/>
  <c r="AB220" i="7"/>
  <c r="AB221" i="7"/>
  <c r="Z163" i="7"/>
  <c r="Z164" i="7"/>
  <c r="Z165" i="7"/>
  <c r="Z166" i="7"/>
  <c r="Z167" i="7"/>
  <c r="Z168" i="7"/>
  <c r="Z169" i="7"/>
  <c r="Z170" i="7"/>
  <c r="Z171" i="7"/>
  <c r="Z172" i="7"/>
  <c r="Z173" i="7"/>
  <c r="Z174" i="7"/>
  <c r="Z175" i="7"/>
  <c r="Z176" i="7"/>
  <c r="Z177" i="7"/>
  <c r="Z178" i="7"/>
  <c r="Z179" i="7"/>
  <c r="Z180" i="7"/>
  <c r="Z181" i="7"/>
  <c r="Z182" i="7"/>
  <c r="Z183" i="7"/>
  <c r="Z184" i="7"/>
  <c r="Z185" i="7"/>
  <c r="Z186" i="7"/>
  <c r="Z187" i="7"/>
  <c r="Z188" i="7"/>
  <c r="Z189" i="7"/>
  <c r="Z190" i="7"/>
  <c r="Z191" i="7"/>
  <c r="Z192" i="7"/>
  <c r="Z193" i="7"/>
  <c r="Z194" i="7"/>
  <c r="Z195" i="7"/>
  <c r="Z196" i="7"/>
  <c r="Z197" i="7"/>
  <c r="Z198" i="7"/>
  <c r="Z199" i="7"/>
  <c r="Z200" i="7"/>
  <c r="Z201" i="7"/>
  <c r="Z202" i="7"/>
  <c r="Z203" i="7"/>
  <c r="Z204" i="7"/>
  <c r="Z205" i="7"/>
  <c r="Z206" i="7"/>
  <c r="Z207" i="7"/>
  <c r="Z208" i="7"/>
  <c r="Z209" i="7"/>
  <c r="Z210" i="7"/>
  <c r="Z211" i="7"/>
  <c r="Z212" i="7"/>
  <c r="Z213" i="7"/>
  <c r="Z214" i="7"/>
  <c r="Z215" i="7"/>
  <c r="Z216" i="7"/>
  <c r="Z217" i="7"/>
  <c r="Z218" i="7"/>
  <c r="Z219" i="7"/>
  <c r="Z220" i="7"/>
  <c r="AB162" i="7"/>
  <c r="Z162" i="7"/>
  <c r="AB135" i="7"/>
  <c r="AB136" i="7"/>
  <c r="AB137" i="7"/>
  <c r="AB138" i="7"/>
  <c r="AB139" i="7"/>
  <c r="AB140" i="7"/>
  <c r="AB141" i="7"/>
  <c r="AB142" i="7"/>
  <c r="AB143" i="7"/>
  <c r="AB144" i="7"/>
  <c r="AB145" i="7"/>
  <c r="AB146" i="7"/>
  <c r="AB147" i="7"/>
  <c r="AB148" i="7"/>
  <c r="AB149" i="7"/>
  <c r="AB150" i="7"/>
  <c r="AB151" i="7"/>
  <c r="AB152" i="7"/>
  <c r="AB153" i="7"/>
  <c r="AB154" i="7"/>
  <c r="AB155" i="7"/>
  <c r="AB156" i="7"/>
  <c r="AB157" i="7"/>
  <c r="AB158" i="7"/>
  <c r="AB134" i="7"/>
  <c r="Z135" i="7"/>
  <c r="Z136" i="7"/>
  <c r="Z137" i="7"/>
  <c r="Z138" i="7"/>
  <c r="Z139" i="7"/>
  <c r="Z140" i="7"/>
  <c r="Z141" i="7"/>
  <c r="Z142" i="7"/>
  <c r="Z143" i="7"/>
  <c r="Z144" i="7"/>
  <c r="Z145" i="7"/>
  <c r="Z146" i="7"/>
  <c r="Z147" i="7"/>
  <c r="Z148" i="7"/>
  <c r="Z149" i="7"/>
  <c r="Z150" i="7"/>
  <c r="Z151" i="7"/>
  <c r="Z152" i="7"/>
  <c r="Z153" i="7"/>
  <c r="Z154" i="7"/>
  <c r="Z155" i="7"/>
  <c r="Z156" i="7"/>
  <c r="Z157" i="7"/>
  <c r="Z158" i="7"/>
  <c r="Z134" i="7"/>
  <c r="Z130" i="7"/>
  <c r="AB96" i="7"/>
  <c r="AB97" i="7"/>
  <c r="AB98" i="7"/>
  <c r="AB99" i="7"/>
  <c r="AB100" i="7"/>
  <c r="AB101" i="7"/>
  <c r="AB102" i="7"/>
  <c r="AB103" i="7"/>
  <c r="AB104" i="7"/>
  <c r="AB105" i="7"/>
  <c r="AB106" i="7"/>
  <c r="AB107" i="7"/>
  <c r="AB108" i="7"/>
  <c r="AB109" i="7"/>
  <c r="AB110" i="7"/>
  <c r="AB111" i="7"/>
  <c r="AB112" i="7"/>
  <c r="AB113" i="7"/>
  <c r="AB114" i="7"/>
  <c r="AB115" i="7"/>
  <c r="AB116" i="7"/>
  <c r="AB117" i="7"/>
  <c r="AB118" i="7"/>
  <c r="AB119" i="7"/>
  <c r="AB120" i="7"/>
  <c r="AB121" i="7"/>
  <c r="AB122" i="7"/>
  <c r="AB123" i="7"/>
  <c r="AB124" i="7"/>
  <c r="AB125" i="7"/>
  <c r="AB126" i="7"/>
  <c r="AB127" i="7"/>
  <c r="AB128" i="7"/>
  <c r="AB129" i="7"/>
  <c r="AB130" i="7"/>
  <c r="Z96" i="7"/>
  <c r="Z97" i="7"/>
  <c r="Z98" i="7"/>
  <c r="Z99" i="7"/>
  <c r="Z100" i="7"/>
  <c r="Z101" i="7"/>
  <c r="Z102" i="7"/>
  <c r="Z103" i="7"/>
  <c r="Z104" i="7"/>
  <c r="Z105" i="7"/>
  <c r="Z106" i="7"/>
  <c r="Z107" i="7"/>
  <c r="Z108" i="7"/>
  <c r="Z109" i="7"/>
  <c r="Z110" i="7"/>
  <c r="Z111" i="7"/>
  <c r="Z112" i="7"/>
  <c r="Z113" i="7"/>
  <c r="Z114" i="7"/>
  <c r="Z115" i="7"/>
  <c r="Z116" i="7"/>
  <c r="Z117" i="7"/>
  <c r="Z118" i="7"/>
  <c r="Z119" i="7"/>
  <c r="Z120" i="7"/>
  <c r="Z121" i="7"/>
  <c r="Z122" i="7"/>
  <c r="Z123" i="7"/>
  <c r="Z124" i="7"/>
  <c r="Z125" i="7"/>
  <c r="Z126" i="7"/>
  <c r="Z127" i="7"/>
  <c r="Z128" i="7"/>
  <c r="Z129" i="7"/>
  <c r="AB95" i="7"/>
  <c r="Z95" i="7"/>
  <c r="AB73" i="7"/>
  <c r="AB74" i="7"/>
  <c r="AB75" i="7"/>
  <c r="AB76" i="7"/>
  <c r="AB77" i="7"/>
  <c r="AB78" i="7"/>
  <c r="AB79" i="7"/>
  <c r="AB80" i="7"/>
  <c r="AB81" i="7"/>
  <c r="AB82" i="7"/>
  <c r="AB83" i="7"/>
  <c r="AB84" i="7"/>
  <c r="AB85" i="7"/>
  <c r="AB86" i="7"/>
  <c r="AB87" i="7"/>
  <c r="AB88" i="7"/>
  <c r="AB89" i="7"/>
  <c r="AB90" i="7"/>
  <c r="AB91" i="7"/>
  <c r="Z73" i="7"/>
  <c r="Z74" i="7"/>
  <c r="Z75" i="7"/>
  <c r="Z76" i="7"/>
  <c r="Z77" i="7"/>
  <c r="Z78" i="7"/>
  <c r="Z79" i="7"/>
  <c r="Z80" i="7"/>
  <c r="Z81" i="7"/>
  <c r="Z82" i="7"/>
  <c r="Z83" i="7"/>
  <c r="Z84" i="7"/>
  <c r="Z85" i="7"/>
  <c r="Z86" i="7"/>
  <c r="Z87" i="7"/>
  <c r="Z88" i="7"/>
  <c r="Z89" i="7"/>
  <c r="Z90" i="7"/>
  <c r="Z91" i="7"/>
  <c r="Z72" i="7"/>
  <c r="Z54" i="7"/>
  <c r="AB72" i="7"/>
  <c r="Z55" i="7"/>
  <c r="Z56" i="7"/>
  <c r="Z57" i="7"/>
  <c r="Z58" i="7"/>
  <c r="Z59" i="7"/>
  <c r="Z60" i="7"/>
  <c r="Z61" i="7"/>
  <c r="Z62" i="7"/>
  <c r="Z63" i="7"/>
  <c r="Z64" i="7"/>
  <c r="Z65" i="7"/>
  <c r="Z66" i="7"/>
  <c r="Z67" i="7"/>
  <c r="Z68" i="7"/>
  <c r="AB55" i="7"/>
  <c r="AB56" i="7"/>
  <c r="AB57" i="7"/>
  <c r="AB58" i="7"/>
  <c r="AB59" i="7"/>
  <c r="AB60" i="7"/>
  <c r="AB61" i="7"/>
  <c r="AB62" i="7"/>
  <c r="AB63" i="7"/>
  <c r="AB64" i="7"/>
  <c r="AB65" i="7"/>
  <c r="AB66" i="7"/>
  <c r="AB67" i="7"/>
  <c r="AB68" i="7"/>
  <c r="AB54" i="7"/>
  <c r="AB50" i="7"/>
  <c r="AB43" i="7"/>
  <c r="AB44" i="7"/>
  <c r="AB45" i="7"/>
  <c r="AB46" i="7"/>
  <c r="AB47" i="7"/>
  <c r="AB48" i="7"/>
  <c r="AB49" i="7"/>
  <c r="Z43" i="7"/>
  <c r="Z44" i="7"/>
  <c r="Z45" i="7"/>
  <c r="Z46" i="7"/>
  <c r="Z47" i="7"/>
  <c r="Z48" i="7"/>
  <c r="Z49" i="7"/>
  <c r="Z50" i="7"/>
  <c r="AB42" i="7"/>
  <c r="Z42" i="7"/>
  <c r="W226" i="7"/>
  <c r="W225" i="7"/>
  <c r="W163" i="7"/>
  <c r="W164" i="7"/>
  <c r="W165" i="7"/>
  <c r="W166" i="7"/>
  <c r="W167" i="7"/>
  <c r="W168" i="7"/>
  <c r="W169" i="7"/>
  <c r="W170" i="7"/>
  <c r="W171" i="7"/>
  <c r="W172" i="7"/>
  <c r="W173" i="7"/>
  <c r="W174" i="7"/>
  <c r="W175" i="7"/>
  <c r="W176" i="7"/>
  <c r="W177" i="7"/>
  <c r="W178" i="7"/>
  <c r="W179" i="7"/>
  <c r="W180" i="7"/>
  <c r="W181" i="7"/>
  <c r="W182" i="7"/>
  <c r="W183" i="7"/>
  <c r="W184" i="7"/>
  <c r="W185" i="7"/>
  <c r="W186" i="7"/>
  <c r="W187" i="7"/>
  <c r="W188" i="7"/>
  <c r="W189" i="7"/>
  <c r="W190" i="7"/>
  <c r="W191" i="7"/>
  <c r="W192" i="7"/>
  <c r="W193" i="7"/>
  <c r="W194" i="7"/>
  <c r="W195" i="7"/>
  <c r="W196" i="7"/>
  <c r="W197" i="7"/>
  <c r="W198" i="7"/>
  <c r="W199" i="7"/>
  <c r="W200" i="7"/>
  <c r="W201" i="7"/>
  <c r="W202" i="7"/>
  <c r="W203" i="7"/>
  <c r="W204" i="7"/>
  <c r="W205" i="7"/>
  <c r="W206" i="7"/>
  <c r="W207" i="7"/>
  <c r="W208" i="7"/>
  <c r="W209" i="7"/>
  <c r="W210" i="7"/>
  <c r="W211" i="7"/>
  <c r="W212" i="7"/>
  <c r="W213" i="7"/>
  <c r="W214" i="7"/>
  <c r="W215" i="7"/>
  <c r="W216" i="7"/>
  <c r="W217" i="7"/>
  <c r="W218" i="7"/>
  <c r="W219" i="7"/>
  <c r="W220" i="7"/>
  <c r="W221" i="7"/>
  <c r="W162" i="7"/>
  <c r="W135" i="7"/>
  <c r="W136" i="7"/>
  <c r="W137" i="7"/>
  <c r="W138" i="7"/>
  <c r="W139" i="7"/>
  <c r="W140" i="7"/>
  <c r="W141" i="7"/>
  <c r="W142" i="7"/>
  <c r="W143" i="7"/>
  <c r="W144" i="7"/>
  <c r="W145" i="7"/>
  <c r="W146" i="7"/>
  <c r="W147" i="7"/>
  <c r="W148" i="7"/>
  <c r="W149" i="7"/>
  <c r="W150" i="7"/>
  <c r="W151" i="7"/>
  <c r="W152" i="7"/>
  <c r="W153" i="7"/>
  <c r="W154" i="7"/>
  <c r="W155" i="7"/>
  <c r="W156" i="7"/>
  <c r="W157" i="7"/>
  <c r="W158" i="7"/>
  <c r="W134" i="7"/>
  <c r="W96" i="7"/>
  <c r="W97" i="7"/>
  <c r="W98" i="7"/>
  <c r="W99" i="7"/>
  <c r="W100" i="7"/>
  <c r="W101" i="7"/>
  <c r="W102" i="7"/>
  <c r="W103" i="7"/>
  <c r="W104" i="7"/>
  <c r="W105" i="7"/>
  <c r="W106" i="7"/>
  <c r="W107" i="7"/>
  <c r="W108" i="7"/>
  <c r="W109" i="7"/>
  <c r="W110" i="7"/>
  <c r="W111" i="7"/>
  <c r="W112" i="7"/>
  <c r="W113" i="7"/>
  <c r="W114" i="7"/>
  <c r="W115" i="7"/>
  <c r="W116" i="7"/>
  <c r="W117" i="7"/>
  <c r="W118" i="7"/>
  <c r="W119" i="7"/>
  <c r="W120" i="7"/>
  <c r="W121" i="7"/>
  <c r="W122" i="7"/>
  <c r="W123" i="7"/>
  <c r="W124" i="7"/>
  <c r="W125" i="7"/>
  <c r="W126" i="7"/>
  <c r="W127" i="7"/>
  <c r="W128" i="7"/>
  <c r="W129" i="7"/>
  <c r="W130" i="7"/>
  <c r="W95" i="7"/>
  <c r="W73" i="7"/>
  <c r="W74" i="7"/>
  <c r="W75" i="7"/>
  <c r="W76" i="7"/>
  <c r="W77" i="7"/>
  <c r="W78" i="7"/>
  <c r="W79" i="7"/>
  <c r="W80" i="7"/>
  <c r="W81" i="7"/>
  <c r="W82" i="7"/>
  <c r="W83" i="7"/>
  <c r="W84" i="7"/>
  <c r="W85" i="7"/>
  <c r="W86" i="7"/>
  <c r="W87" i="7"/>
  <c r="W88" i="7"/>
  <c r="W89" i="7"/>
  <c r="W90" i="7"/>
  <c r="W91" i="7"/>
  <c r="W72" i="7"/>
  <c r="W55" i="7"/>
  <c r="W56" i="7"/>
  <c r="W57" i="7"/>
  <c r="W58" i="7"/>
  <c r="W59" i="7"/>
  <c r="W60" i="7"/>
  <c r="W61" i="7"/>
  <c r="W62" i="7"/>
  <c r="W63" i="7"/>
  <c r="W64" i="7"/>
  <c r="W65" i="7"/>
  <c r="W66" i="7"/>
  <c r="W67" i="7"/>
  <c r="W68" i="7"/>
  <c r="W54" i="7"/>
  <c r="W43" i="7"/>
  <c r="W44" i="7"/>
  <c r="W45" i="7"/>
  <c r="W46" i="7"/>
  <c r="W47" i="7"/>
  <c r="W48" i="7"/>
  <c r="W49" i="7"/>
  <c r="W50" i="7"/>
  <c r="W42" i="7"/>
  <c r="W28" i="7"/>
  <c r="W29" i="7"/>
  <c r="W30" i="7"/>
  <c r="W31" i="7"/>
  <c r="W32" i="7"/>
  <c r="W33" i="7"/>
  <c r="W34" i="7"/>
  <c r="W35" i="7"/>
  <c r="W36" i="7"/>
  <c r="W37" i="7"/>
  <c r="W38" i="7"/>
  <c r="W27" i="7"/>
  <c r="W12" i="7"/>
  <c r="W13" i="7"/>
  <c r="W14" i="7"/>
  <c r="W15" i="7"/>
  <c r="W16" i="7"/>
  <c r="W17" i="7"/>
  <c r="W18" i="7"/>
  <c r="W19" i="7"/>
  <c r="W20" i="7"/>
  <c r="W21" i="7"/>
  <c r="W22" i="7"/>
  <c r="W23" i="7"/>
  <c r="P28" i="7"/>
  <c r="Q28" i="7"/>
  <c r="R28" i="7"/>
  <c r="S28" i="7"/>
  <c r="T28" i="7"/>
  <c r="U28" i="7"/>
  <c r="P29" i="7"/>
  <c r="Q29" i="7"/>
  <c r="R29" i="7"/>
  <c r="S29" i="7"/>
  <c r="T29" i="7"/>
  <c r="U29" i="7"/>
  <c r="P30" i="7"/>
  <c r="Q30" i="7"/>
  <c r="R30" i="7"/>
  <c r="S30" i="7"/>
  <c r="T30" i="7"/>
  <c r="U30" i="7"/>
  <c r="P31" i="7"/>
  <c r="Q31" i="7"/>
  <c r="R31" i="7"/>
  <c r="S31" i="7"/>
  <c r="T31" i="7"/>
  <c r="U31" i="7"/>
  <c r="P32" i="7"/>
  <c r="Q32" i="7"/>
  <c r="R32" i="7"/>
  <c r="S32" i="7"/>
  <c r="T32" i="7"/>
  <c r="U32" i="7"/>
  <c r="P33" i="7"/>
  <c r="Q33" i="7"/>
  <c r="R33" i="7"/>
  <c r="S33" i="7"/>
  <c r="T33" i="7"/>
  <c r="U33" i="7"/>
  <c r="P34" i="7"/>
  <c r="Q34" i="7"/>
  <c r="R34" i="7"/>
  <c r="S34" i="7"/>
  <c r="T34" i="7"/>
  <c r="U34" i="7"/>
  <c r="P35" i="7"/>
  <c r="Q35" i="7"/>
  <c r="R35" i="7"/>
  <c r="S35" i="7"/>
  <c r="T35" i="7"/>
  <c r="U35" i="7"/>
  <c r="P36" i="7"/>
  <c r="Q36" i="7"/>
  <c r="R36" i="7"/>
  <c r="S36" i="7"/>
  <c r="T36" i="7"/>
  <c r="U36" i="7"/>
  <c r="P37" i="7"/>
  <c r="Q37" i="7"/>
  <c r="R37" i="7"/>
  <c r="S37" i="7"/>
  <c r="T37" i="7"/>
  <c r="U37" i="7"/>
  <c r="P38" i="7"/>
  <c r="Q38" i="7"/>
  <c r="R38" i="7"/>
  <c r="S38" i="7"/>
  <c r="T38" i="7"/>
  <c r="U38" i="7"/>
  <c r="P39" i="7"/>
  <c r="Q39" i="7"/>
  <c r="R39" i="7"/>
  <c r="S39" i="7"/>
  <c r="T39" i="7"/>
  <c r="U39" i="7"/>
  <c r="P40" i="7"/>
  <c r="Q40" i="7"/>
  <c r="R40" i="7"/>
  <c r="S40" i="7"/>
  <c r="T40" i="7"/>
  <c r="U40" i="7"/>
  <c r="P42" i="7"/>
  <c r="Q42" i="7"/>
  <c r="R42" i="7"/>
  <c r="S42" i="7"/>
  <c r="T42" i="7"/>
  <c r="U42" i="7"/>
  <c r="P43" i="7"/>
  <c r="Q43" i="7"/>
  <c r="R43" i="7"/>
  <c r="S43" i="7"/>
  <c r="T43" i="7"/>
  <c r="U43" i="7"/>
  <c r="P44" i="7"/>
  <c r="Q44" i="7"/>
  <c r="R44" i="7"/>
  <c r="S44" i="7"/>
  <c r="T44" i="7"/>
  <c r="U44" i="7"/>
  <c r="P45" i="7"/>
  <c r="Q45" i="7"/>
  <c r="R45" i="7"/>
  <c r="S45" i="7"/>
  <c r="T45" i="7"/>
  <c r="U45" i="7"/>
  <c r="P46" i="7"/>
  <c r="Q46" i="7"/>
  <c r="R46" i="7"/>
  <c r="S46" i="7"/>
  <c r="T46" i="7"/>
  <c r="U46" i="7"/>
  <c r="P47" i="7"/>
  <c r="Q47" i="7"/>
  <c r="R47" i="7"/>
  <c r="S47" i="7"/>
  <c r="T47" i="7"/>
  <c r="U47" i="7"/>
  <c r="P48" i="7"/>
  <c r="Q48" i="7"/>
  <c r="R48" i="7"/>
  <c r="S48" i="7"/>
  <c r="T48" i="7"/>
  <c r="U48" i="7"/>
  <c r="P49" i="7"/>
  <c r="Q49" i="7"/>
  <c r="R49" i="7"/>
  <c r="S49" i="7"/>
  <c r="T49" i="7"/>
  <c r="U49" i="7"/>
  <c r="P50" i="7"/>
  <c r="Q50" i="7"/>
  <c r="R50" i="7"/>
  <c r="S50" i="7"/>
  <c r="T50" i="7"/>
  <c r="U50" i="7"/>
  <c r="P51" i="7"/>
  <c r="Q51" i="7"/>
  <c r="R51" i="7"/>
  <c r="S51" i="7"/>
  <c r="T51" i="7"/>
  <c r="U51" i="7"/>
  <c r="P52" i="7"/>
  <c r="Q52" i="7"/>
  <c r="R52" i="7"/>
  <c r="S52" i="7"/>
  <c r="T52" i="7"/>
  <c r="U52" i="7"/>
  <c r="P54" i="7"/>
  <c r="Q54" i="7"/>
  <c r="R54" i="7"/>
  <c r="S54" i="7"/>
  <c r="T54" i="7"/>
  <c r="U54" i="7"/>
  <c r="P55" i="7"/>
  <c r="Q55" i="7"/>
  <c r="R55" i="7"/>
  <c r="S55" i="7"/>
  <c r="T55" i="7"/>
  <c r="U55" i="7"/>
  <c r="P56" i="7"/>
  <c r="Q56" i="7"/>
  <c r="R56" i="7"/>
  <c r="S56" i="7"/>
  <c r="T56" i="7"/>
  <c r="U56" i="7"/>
  <c r="P57" i="7"/>
  <c r="Q57" i="7"/>
  <c r="R57" i="7"/>
  <c r="S57" i="7"/>
  <c r="T57" i="7"/>
  <c r="U57" i="7"/>
  <c r="P58" i="7"/>
  <c r="Q58" i="7"/>
  <c r="R58" i="7"/>
  <c r="S58" i="7"/>
  <c r="T58" i="7"/>
  <c r="U58" i="7"/>
  <c r="P59" i="7"/>
  <c r="Q59" i="7"/>
  <c r="R59" i="7"/>
  <c r="S59" i="7"/>
  <c r="T59" i="7"/>
  <c r="U59" i="7"/>
  <c r="P60" i="7"/>
  <c r="Q60" i="7"/>
  <c r="R60" i="7"/>
  <c r="S60" i="7"/>
  <c r="T60" i="7"/>
  <c r="U60" i="7"/>
  <c r="P61" i="7"/>
  <c r="Q61" i="7"/>
  <c r="R61" i="7"/>
  <c r="S61" i="7"/>
  <c r="T61" i="7"/>
  <c r="U61" i="7"/>
  <c r="P62" i="7"/>
  <c r="Q62" i="7"/>
  <c r="R62" i="7"/>
  <c r="S62" i="7"/>
  <c r="T62" i="7"/>
  <c r="U62" i="7"/>
  <c r="P63" i="7"/>
  <c r="Q63" i="7"/>
  <c r="R63" i="7"/>
  <c r="S63" i="7"/>
  <c r="T63" i="7"/>
  <c r="U63" i="7"/>
  <c r="P64" i="7"/>
  <c r="Q64" i="7"/>
  <c r="R64" i="7"/>
  <c r="S64" i="7"/>
  <c r="T64" i="7"/>
  <c r="U64" i="7"/>
  <c r="P65" i="7"/>
  <c r="Q65" i="7"/>
  <c r="R65" i="7"/>
  <c r="S65" i="7"/>
  <c r="T65" i="7"/>
  <c r="U65" i="7"/>
  <c r="P66" i="7"/>
  <c r="Q66" i="7"/>
  <c r="R66" i="7"/>
  <c r="S66" i="7"/>
  <c r="T66" i="7"/>
  <c r="U66" i="7"/>
  <c r="P67" i="7"/>
  <c r="Q67" i="7"/>
  <c r="R67" i="7"/>
  <c r="S67" i="7"/>
  <c r="T67" i="7"/>
  <c r="U67" i="7"/>
  <c r="P68" i="7"/>
  <c r="Q68" i="7"/>
  <c r="R68" i="7"/>
  <c r="S68" i="7"/>
  <c r="T68" i="7"/>
  <c r="U68" i="7"/>
  <c r="P69" i="7"/>
  <c r="Q69" i="7"/>
  <c r="R69" i="7"/>
  <c r="S69" i="7"/>
  <c r="T69" i="7"/>
  <c r="U69" i="7"/>
  <c r="P70" i="7"/>
  <c r="Q70" i="7"/>
  <c r="R70" i="7"/>
  <c r="S70" i="7"/>
  <c r="T70" i="7"/>
  <c r="U70" i="7"/>
  <c r="P72" i="7"/>
  <c r="Q72" i="7"/>
  <c r="R72" i="7"/>
  <c r="S72" i="7"/>
  <c r="T72" i="7"/>
  <c r="U72" i="7"/>
  <c r="P73" i="7"/>
  <c r="Q73" i="7"/>
  <c r="R73" i="7"/>
  <c r="S73" i="7"/>
  <c r="T73" i="7"/>
  <c r="U73" i="7"/>
  <c r="P74" i="7"/>
  <c r="Q74" i="7"/>
  <c r="R74" i="7"/>
  <c r="S74" i="7"/>
  <c r="T74" i="7"/>
  <c r="U74" i="7"/>
  <c r="P75" i="7"/>
  <c r="Q75" i="7"/>
  <c r="R75" i="7"/>
  <c r="S75" i="7"/>
  <c r="T75" i="7"/>
  <c r="U75" i="7"/>
  <c r="P76" i="7"/>
  <c r="Q76" i="7"/>
  <c r="R76" i="7"/>
  <c r="S76" i="7"/>
  <c r="T76" i="7"/>
  <c r="U76" i="7"/>
  <c r="P77" i="7"/>
  <c r="Q77" i="7"/>
  <c r="R77" i="7"/>
  <c r="S77" i="7"/>
  <c r="T77" i="7"/>
  <c r="U77" i="7"/>
  <c r="P78" i="7"/>
  <c r="Q78" i="7"/>
  <c r="R78" i="7"/>
  <c r="S78" i="7"/>
  <c r="T78" i="7"/>
  <c r="U78" i="7"/>
  <c r="P79" i="7"/>
  <c r="Q79" i="7"/>
  <c r="R79" i="7"/>
  <c r="S79" i="7"/>
  <c r="T79" i="7"/>
  <c r="U79" i="7"/>
  <c r="P80" i="7"/>
  <c r="Q80" i="7"/>
  <c r="R80" i="7"/>
  <c r="S80" i="7"/>
  <c r="T80" i="7"/>
  <c r="U80" i="7"/>
  <c r="P81" i="7"/>
  <c r="Q81" i="7"/>
  <c r="R81" i="7"/>
  <c r="S81" i="7"/>
  <c r="T81" i="7"/>
  <c r="U81" i="7"/>
  <c r="P82" i="7"/>
  <c r="Q82" i="7"/>
  <c r="R82" i="7"/>
  <c r="S82" i="7"/>
  <c r="T82" i="7"/>
  <c r="U82" i="7"/>
  <c r="P83" i="7"/>
  <c r="Q83" i="7"/>
  <c r="R83" i="7"/>
  <c r="S83" i="7"/>
  <c r="T83" i="7"/>
  <c r="U83" i="7"/>
  <c r="P84" i="7"/>
  <c r="Q84" i="7"/>
  <c r="R84" i="7"/>
  <c r="S84" i="7"/>
  <c r="T84" i="7"/>
  <c r="U84" i="7"/>
  <c r="P85" i="7"/>
  <c r="Q85" i="7"/>
  <c r="R85" i="7"/>
  <c r="S85" i="7"/>
  <c r="T85" i="7"/>
  <c r="U85" i="7"/>
  <c r="P86" i="7"/>
  <c r="Q86" i="7"/>
  <c r="R86" i="7"/>
  <c r="S86" i="7"/>
  <c r="T86" i="7"/>
  <c r="U86" i="7"/>
  <c r="P87" i="7"/>
  <c r="Q87" i="7"/>
  <c r="R87" i="7"/>
  <c r="S87" i="7"/>
  <c r="T87" i="7"/>
  <c r="U87" i="7"/>
  <c r="P88" i="7"/>
  <c r="Q88" i="7"/>
  <c r="R88" i="7"/>
  <c r="S88" i="7"/>
  <c r="T88" i="7"/>
  <c r="U88" i="7"/>
  <c r="P89" i="7"/>
  <c r="Q89" i="7"/>
  <c r="R89" i="7"/>
  <c r="S89" i="7"/>
  <c r="T89" i="7"/>
  <c r="U89" i="7"/>
  <c r="P90" i="7"/>
  <c r="Q90" i="7"/>
  <c r="R90" i="7"/>
  <c r="S90" i="7"/>
  <c r="T90" i="7"/>
  <c r="U90" i="7"/>
  <c r="P91" i="7"/>
  <c r="Q91" i="7"/>
  <c r="R91" i="7"/>
  <c r="S91" i="7"/>
  <c r="T91" i="7"/>
  <c r="U91" i="7"/>
  <c r="P92" i="7"/>
  <c r="Q92" i="7"/>
  <c r="R92" i="7"/>
  <c r="S92" i="7"/>
  <c r="T92" i="7"/>
  <c r="U92" i="7"/>
  <c r="P93" i="7"/>
  <c r="Q93" i="7"/>
  <c r="R93" i="7"/>
  <c r="S93" i="7"/>
  <c r="T93" i="7"/>
  <c r="U93" i="7"/>
  <c r="P95" i="7"/>
  <c r="Q95" i="7"/>
  <c r="R95" i="7"/>
  <c r="S95" i="7"/>
  <c r="T95" i="7"/>
  <c r="U95" i="7"/>
  <c r="P96" i="7"/>
  <c r="Q96" i="7"/>
  <c r="R96" i="7"/>
  <c r="S96" i="7"/>
  <c r="T96" i="7"/>
  <c r="U96" i="7"/>
  <c r="P97" i="7"/>
  <c r="Q97" i="7"/>
  <c r="R97" i="7"/>
  <c r="S97" i="7"/>
  <c r="T97" i="7"/>
  <c r="U97" i="7"/>
  <c r="P98" i="7"/>
  <c r="Q98" i="7"/>
  <c r="R98" i="7"/>
  <c r="S98" i="7"/>
  <c r="T98" i="7"/>
  <c r="U98" i="7"/>
  <c r="P99" i="7"/>
  <c r="Q99" i="7"/>
  <c r="R99" i="7"/>
  <c r="S99" i="7"/>
  <c r="T99" i="7"/>
  <c r="U99" i="7"/>
  <c r="P100" i="7"/>
  <c r="Q100" i="7"/>
  <c r="R100" i="7"/>
  <c r="S100" i="7"/>
  <c r="T100" i="7"/>
  <c r="U100" i="7"/>
  <c r="P101" i="7"/>
  <c r="Q101" i="7"/>
  <c r="R101" i="7"/>
  <c r="S101" i="7"/>
  <c r="T101" i="7"/>
  <c r="U101" i="7"/>
  <c r="P102" i="7"/>
  <c r="Q102" i="7"/>
  <c r="R102" i="7"/>
  <c r="S102" i="7"/>
  <c r="T102" i="7"/>
  <c r="U102" i="7"/>
  <c r="P103" i="7"/>
  <c r="Q103" i="7"/>
  <c r="R103" i="7"/>
  <c r="S103" i="7"/>
  <c r="T103" i="7"/>
  <c r="U103" i="7"/>
  <c r="P104" i="7"/>
  <c r="Q104" i="7"/>
  <c r="R104" i="7"/>
  <c r="S104" i="7"/>
  <c r="T104" i="7"/>
  <c r="U104" i="7"/>
  <c r="P105" i="7"/>
  <c r="Q105" i="7"/>
  <c r="R105" i="7"/>
  <c r="S105" i="7"/>
  <c r="T105" i="7"/>
  <c r="U105" i="7"/>
  <c r="P106" i="7"/>
  <c r="Q106" i="7"/>
  <c r="R106" i="7"/>
  <c r="S106" i="7"/>
  <c r="T106" i="7"/>
  <c r="U106" i="7"/>
  <c r="P107" i="7"/>
  <c r="Q107" i="7"/>
  <c r="R107" i="7"/>
  <c r="S107" i="7"/>
  <c r="T107" i="7"/>
  <c r="U107" i="7"/>
  <c r="P108" i="7"/>
  <c r="Q108" i="7"/>
  <c r="R108" i="7"/>
  <c r="S108" i="7"/>
  <c r="T108" i="7"/>
  <c r="U108" i="7"/>
  <c r="P109" i="7"/>
  <c r="Q109" i="7"/>
  <c r="R109" i="7"/>
  <c r="S109" i="7"/>
  <c r="T109" i="7"/>
  <c r="U109" i="7"/>
  <c r="P110" i="7"/>
  <c r="Q110" i="7"/>
  <c r="R110" i="7"/>
  <c r="S110" i="7"/>
  <c r="T110" i="7"/>
  <c r="U110" i="7"/>
  <c r="P111" i="7"/>
  <c r="Q111" i="7"/>
  <c r="R111" i="7"/>
  <c r="S111" i="7"/>
  <c r="T111" i="7"/>
  <c r="U111" i="7"/>
  <c r="P112" i="7"/>
  <c r="Q112" i="7"/>
  <c r="R112" i="7"/>
  <c r="S112" i="7"/>
  <c r="T112" i="7"/>
  <c r="U112" i="7"/>
  <c r="P113" i="7"/>
  <c r="Q113" i="7"/>
  <c r="R113" i="7"/>
  <c r="S113" i="7"/>
  <c r="T113" i="7"/>
  <c r="U113" i="7"/>
  <c r="P114" i="7"/>
  <c r="Q114" i="7"/>
  <c r="R114" i="7"/>
  <c r="S114" i="7"/>
  <c r="T114" i="7"/>
  <c r="U114" i="7"/>
  <c r="P115" i="7"/>
  <c r="Q115" i="7"/>
  <c r="R115" i="7"/>
  <c r="S115" i="7"/>
  <c r="T115" i="7"/>
  <c r="U115" i="7"/>
  <c r="P116" i="7"/>
  <c r="Q116" i="7"/>
  <c r="R116" i="7"/>
  <c r="S116" i="7"/>
  <c r="T116" i="7"/>
  <c r="U116" i="7"/>
  <c r="P117" i="7"/>
  <c r="Q117" i="7"/>
  <c r="R117" i="7"/>
  <c r="S117" i="7"/>
  <c r="T117" i="7"/>
  <c r="U117" i="7"/>
  <c r="P118" i="7"/>
  <c r="Q118" i="7"/>
  <c r="R118" i="7"/>
  <c r="S118" i="7"/>
  <c r="T118" i="7"/>
  <c r="U118" i="7"/>
  <c r="P119" i="7"/>
  <c r="Q119" i="7"/>
  <c r="R119" i="7"/>
  <c r="S119" i="7"/>
  <c r="T119" i="7"/>
  <c r="U119" i="7"/>
  <c r="P120" i="7"/>
  <c r="Q120" i="7"/>
  <c r="R120" i="7"/>
  <c r="S120" i="7"/>
  <c r="T120" i="7"/>
  <c r="U120" i="7"/>
  <c r="P121" i="7"/>
  <c r="Q121" i="7"/>
  <c r="R121" i="7"/>
  <c r="S121" i="7"/>
  <c r="T121" i="7"/>
  <c r="U121" i="7"/>
  <c r="P122" i="7"/>
  <c r="Q122" i="7"/>
  <c r="R122" i="7"/>
  <c r="S122" i="7"/>
  <c r="T122" i="7"/>
  <c r="U122" i="7"/>
  <c r="P123" i="7"/>
  <c r="Q123" i="7"/>
  <c r="R123" i="7"/>
  <c r="S123" i="7"/>
  <c r="T123" i="7"/>
  <c r="U123" i="7"/>
  <c r="P124" i="7"/>
  <c r="Q124" i="7"/>
  <c r="R124" i="7"/>
  <c r="S124" i="7"/>
  <c r="T124" i="7"/>
  <c r="U124" i="7"/>
  <c r="P125" i="7"/>
  <c r="Q125" i="7"/>
  <c r="R125" i="7"/>
  <c r="S125" i="7"/>
  <c r="T125" i="7"/>
  <c r="U125" i="7"/>
  <c r="P126" i="7"/>
  <c r="Q126" i="7"/>
  <c r="R126" i="7"/>
  <c r="S126" i="7"/>
  <c r="T126" i="7"/>
  <c r="U126" i="7"/>
  <c r="P127" i="7"/>
  <c r="Q127" i="7"/>
  <c r="R127" i="7"/>
  <c r="S127" i="7"/>
  <c r="T127" i="7"/>
  <c r="U127" i="7"/>
  <c r="P128" i="7"/>
  <c r="Q128" i="7"/>
  <c r="R128" i="7"/>
  <c r="S128" i="7"/>
  <c r="T128" i="7"/>
  <c r="U128" i="7"/>
  <c r="P129" i="7"/>
  <c r="Q129" i="7"/>
  <c r="R129" i="7"/>
  <c r="S129" i="7"/>
  <c r="T129" i="7"/>
  <c r="U129" i="7"/>
  <c r="P130" i="7"/>
  <c r="Q130" i="7"/>
  <c r="R130" i="7"/>
  <c r="S130" i="7"/>
  <c r="T130" i="7"/>
  <c r="U130" i="7"/>
  <c r="P131" i="7"/>
  <c r="Q131" i="7"/>
  <c r="R131" i="7"/>
  <c r="S131" i="7"/>
  <c r="T131" i="7"/>
  <c r="U131" i="7"/>
  <c r="P132" i="7"/>
  <c r="Q132" i="7"/>
  <c r="R132" i="7"/>
  <c r="S132" i="7"/>
  <c r="T132" i="7"/>
  <c r="U132" i="7"/>
  <c r="P134" i="7"/>
  <c r="Q134" i="7"/>
  <c r="R134" i="7"/>
  <c r="S134" i="7"/>
  <c r="T134" i="7"/>
  <c r="U134" i="7"/>
  <c r="P135" i="7"/>
  <c r="Q135" i="7"/>
  <c r="R135" i="7"/>
  <c r="S135" i="7"/>
  <c r="T135" i="7"/>
  <c r="U135" i="7"/>
  <c r="P136" i="7"/>
  <c r="Q136" i="7"/>
  <c r="R136" i="7"/>
  <c r="S136" i="7"/>
  <c r="T136" i="7"/>
  <c r="U136" i="7"/>
  <c r="P137" i="7"/>
  <c r="Q137" i="7"/>
  <c r="R137" i="7"/>
  <c r="S137" i="7"/>
  <c r="T137" i="7"/>
  <c r="U137" i="7"/>
  <c r="P138" i="7"/>
  <c r="Q138" i="7"/>
  <c r="R138" i="7"/>
  <c r="S138" i="7"/>
  <c r="T138" i="7"/>
  <c r="U138" i="7"/>
  <c r="P139" i="7"/>
  <c r="Q139" i="7"/>
  <c r="R139" i="7"/>
  <c r="S139" i="7"/>
  <c r="T139" i="7"/>
  <c r="U139" i="7"/>
  <c r="P140" i="7"/>
  <c r="Q140" i="7"/>
  <c r="R140" i="7"/>
  <c r="S140" i="7"/>
  <c r="T140" i="7"/>
  <c r="U140" i="7"/>
  <c r="P141" i="7"/>
  <c r="Q141" i="7"/>
  <c r="R141" i="7"/>
  <c r="S141" i="7"/>
  <c r="T141" i="7"/>
  <c r="U141" i="7"/>
  <c r="P142" i="7"/>
  <c r="Q142" i="7"/>
  <c r="R142" i="7"/>
  <c r="S142" i="7"/>
  <c r="T142" i="7"/>
  <c r="U142" i="7"/>
  <c r="P143" i="7"/>
  <c r="Q143" i="7"/>
  <c r="R143" i="7"/>
  <c r="S143" i="7"/>
  <c r="T143" i="7"/>
  <c r="U143" i="7"/>
  <c r="P144" i="7"/>
  <c r="Q144" i="7"/>
  <c r="R144" i="7"/>
  <c r="S144" i="7"/>
  <c r="T144" i="7"/>
  <c r="U144" i="7"/>
  <c r="P145" i="7"/>
  <c r="Q145" i="7"/>
  <c r="R145" i="7"/>
  <c r="S145" i="7"/>
  <c r="T145" i="7"/>
  <c r="U145" i="7"/>
  <c r="P146" i="7"/>
  <c r="Q146" i="7"/>
  <c r="R146" i="7"/>
  <c r="S146" i="7"/>
  <c r="T146" i="7"/>
  <c r="U146" i="7"/>
  <c r="P147" i="7"/>
  <c r="Q147" i="7"/>
  <c r="R147" i="7"/>
  <c r="S147" i="7"/>
  <c r="T147" i="7"/>
  <c r="U147" i="7"/>
  <c r="P148" i="7"/>
  <c r="Q148" i="7"/>
  <c r="R148" i="7"/>
  <c r="S148" i="7"/>
  <c r="T148" i="7"/>
  <c r="U148" i="7"/>
  <c r="P149" i="7"/>
  <c r="Q149" i="7"/>
  <c r="R149" i="7"/>
  <c r="S149" i="7"/>
  <c r="T149" i="7"/>
  <c r="U149" i="7"/>
  <c r="P150" i="7"/>
  <c r="Q150" i="7"/>
  <c r="R150" i="7"/>
  <c r="S150" i="7"/>
  <c r="T150" i="7"/>
  <c r="U150" i="7"/>
  <c r="P151" i="7"/>
  <c r="Q151" i="7"/>
  <c r="R151" i="7"/>
  <c r="S151" i="7"/>
  <c r="T151" i="7"/>
  <c r="U151" i="7"/>
  <c r="P152" i="7"/>
  <c r="Q152" i="7"/>
  <c r="R152" i="7"/>
  <c r="S152" i="7"/>
  <c r="T152" i="7"/>
  <c r="U152" i="7"/>
  <c r="P153" i="7"/>
  <c r="Q153" i="7"/>
  <c r="R153" i="7"/>
  <c r="S153" i="7"/>
  <c r="T153" i="7"/>
  <c r="U153" i="7"/>
  <c r="P154" i="7"/>
  <c r="Q154" i="7"/>
  <c r="R154" i="7"/>
  <c r="S154" i="7"/>
  <c r="T154" i="7"/>
  <c r="U154" i="7"/>
  <c r="P155" i="7"/>
  <c r="Q155" i="7"/>
  <c r="R155" i="7"/>
  <c r="S155" i="7"/>
  <c r="T155" i="7"/>
  <c r="U155" i="7"/>
  <c r="P156" i="7"/>
  <c r="Q156" i="7"/>
  <c r="R156" i="7"/>
  <c r="S156" i="7"/>
  <c r="T156" i="7"/>
  <c r="U156" i="7"/>
  <c r="P157" i="7"/>
  <c r="Q157" i="7"/>
  <c r="R157" i="7"/>
  <c r="S157" i="7"/>
  <c r="T157" i="7"/>
  <c r="U157" i="7"/>
  <c r="P158" i="7"/>
  <c r="Q158" i="7"/>
  <c r="R158" i="7"/>
  <c r="S158" i="7"/>
  <c r="T158" i="7"/>
  <c r="U158" i="7"/>
  <c r="P159" i="7"/>
  <c r="Q159" i="7"/>
  <c r="R159" i="7"/>
  <c r="S159" i="7"/>
  <c r="T159" i="7"/>
  <c r="U159" i="7"/>
  <c r="P160" i="7"/>
  <c r="Q160" i="7"/>
  <c r="R160" i="7"/>
  <c r="S160" i="7"/>
  <c r="T160" i="7"/>
  <c r="U160" i="7"/>
  <c r="P162" i="7"/>
  <c r="Q162" i="7"/>
  <c r="R162" i="7"/>
  <c r="S162" i="7"/>
  <c r="T162" i="7"/>
  <c r="U162" i="7"/>
  <c r="P163" i="7"/>
  <c r="Q163" i="7"/>
  <c r="R163" i="7"/>
  <c r="S163" i="7"/>
  <c r="T163" i="7"/>
  <c r="U163" i="7"/>
  <c r="P164" i="7"/>
  <c r="Q164" i="7"/>
  <c r="R164" i="7"/>
  <c r="S164" i="7"/>
  <c r="T164" i="7"/>
  <c r="U164" i="7"/>
  <c r="P165" i="7"/>
  <c r="Q165" i="7"/>
  <c r="R165" i="7"/>
  <c r="S165" i="7"/>
  <c r="T165" i="7"/>
  <c r="U165" i="7"/>
  <c r="P166" i="7"/>
  <c r="Q166" i="7"/>
  <c r="R166" i="7"/>
  <c r="S166" i="7"/>
  <c r="T166" i="7"/>
  <c r="U166" i="7"/>
  <c r="P167" i="7"/>
  <c r="Q167" i="7"/>
  <c r="R167" i="7"/>
  <c r="S167" i="7"/>
  <c r="T167" i="7"/>
  <c r="U167" i="7"/>
  <c r="P168" i="7"/>
  <c r="Q168" i="7"/>
  <c r="R168" i="7"/>
  <c r="S168" i="7"/>
  <c r="T168" i="7"/>
  <c r="U168" i="7"/>
  <c r="P169" i="7"/>
  <c r="Q169" i="7"/>
  <c r="R169" i="7"/>
  <c r="S169" i="7"/>
  <c r="T169" i="7"/>
  <c r="U169" i="7"/>
  <c r="P170" i="7"/>
  <c r="Q170" i="7"/>
  <c r="R170" i="7"/>
  <c r="S170" i="7"/>
  <c r="T170" i="7"/>
  <c r="U170" i="7"/>
  <c r="P171" i="7"/>
  <c r="Q171" i="7"/>
  <c r="R171" i="7"/>
  <c r="S171" i="7"/>
  <c r="T171" i="7"/>
  <c r="U171" i="7"/>
  <c r="P172" i="7"/>
  <c r="Q172" i="7"/>
  <c r="R172" i="7"/>
  <c r="S172" i="7"/>
  <c r="T172" i="7"/>
  <c r="U172" i="7"/>
  <c r="P173" i="7"/>
  <c r="Q173" i="7"/>
  <c r="R173" i="7"/>
  <c r="S173" i="7"/>
  <c r="T173" i="7"/>
  <c r="U173" i="7"/>
  <c r="P174" i="7"/>
  <c r="Q174" i="7"/>
  <c r="R174" i="7"/>
  <c r="S174" i="7"/>
  <c r="T174" i="7"/>
  <c r="U174" i="7"/>
  <c r="P175" i="7"/>
  <c r="Q175" i="7"/>
  <c r="R175" i="7"/>
  <c r="S175" i="7"/>
  <c r="T175" i="7"/>
  <c r="U175" i="7"/>
  <c r="P176" i="7"/>
  <c r="Q176" i="7"/>
  <c r="R176" i="7"/>
  <c r="S176" i="7"/>
  <c r="T176" i="7"/>
  <c r="U176" i="7"/>
  <c r="P177" i="7"/>
  <c r="Q177" i="7"/>
  <c r="R177" i="7"/>
  <c r="S177" i="7"/>
  <c r="T177" i="7"/>
  <c r="U177" i="7"/>
  <c r="P178" i="7"/>
  <c r="Q178" i="7"/>
  <c r="R178" i="7"/>
  <c r="S178" i="7"/>
  <c r="T178" i="7"/>
  <c r="U178" i="7"/>
  <c r="P179" i="7"/>
  <c r="Q179" i="7"/>
  <c r="R179" i="7"/>
  <c r="S179" i="7"/>
  <c r="T179" i="7"/>
  <c r="U179" i="7"/>
  <c r="P180" i="7"/>
  <c r="Q180" i="7"/>
  <c r="R180" i="7"/>
  <c r="S180" i="7"/>
  <c r="T180" i="7"/>
  <c r="U180" i="7"/>
  <c r="P181" i="7"/>
  <c r="Q181" i="7"/>
  <c r="R181" i="7"/>
  <c r="S181" i="7"/>
  <c r="T181" i="7"/>
  <c r="U181" i="7"/>
  <c r="P182" i="7"/>
  <c r="Q182" i="7"/>
  <c r="R182" i="7"/>
  <c r="S182" i="7"/>
  <c r="T182" i="7"/>
  <c r="U182" i="7"/>
  <c r="P183" i="7"/>
  <c r="Q183" i="7"/>
  <c r="R183" i="7"/>
  <c r="S183" i="7"/>
  <c r="T183" i="7"/>
  <c r="U183" i="7"/>
  <c r="P184" i="7"/>
  <c r="Q184" i="7"/>
  <c r="R184" i="7"/>
  <c r="S184" i="7"/>
  <c r="T184" i="7"/>
  <c r="U184" i="7"/>
  <c r="P185" i="7"/>
  <c r="Q185" i="7"/>
  <c r="R185" i="7"/>
  <c r="S185" i="7"/>
  <c r="T185" i="7"/>
  <c r="U185" i="7"/>
  <c r="P186" i="7"/>
  <c r="Q186" i="7"/>
  <c r="R186" i="7"/>
  <c r="S186" i="7"/>
  <c r="T186" i="7"/>
  <c r="U186" i="7"/>
  <c r="P187" i="7"/>
  <c r="Q187" i="7"/>
  <c r="R187" i="7"/>
  <c r="S187" i="7"/>
  <c r="T187" i="7"/>
  <c r="U187" i="7"/>
  <c r="P188" i="7"/>
  <c r="Q188" i="7"/>
  <c r="R188" i="7"/>
  <c r="S188" i="7"/>
  <c r="T188" i="7"/>
  <c r="U188" i="7"/>
  <c r="P189" i="7"/>
  <c r="Q189" i="7"/>
  <c r="R189" i="7"/>
  <c r="S189" i="7"/>
  <c r="T189" i="7"/>
  <c r="U189" i="7"/>
  <c r="P190" i="7"/>
  <c r="Q190" i="7"/>
  <c r="R190" i="7"/>
  <c r="S190" i="7"/>
  <c r="T190" i="7"/>
  <c r="U190" i="7"/>
  <c r="P191" i="7"/>
  <c r="Q191" i="7"/>
  <c r="R191" i="7"/>
  <c r="S191" i="7"/>
  <c r="T191" i="7"/>
  <c r="U191" i="7"/>
  <c r="P192" i="7"/>
  <c r="Q192" i="7"/>
  <c r="R192" i="7"/>
  <c r="S192" i="7"/>
  <c r="T192" i="7"/>
  <c r="U192" i="7"/>
  <c r="P193" i="7"/>
  <c r="Q193" i="7"/>
  <c r="R193" i="7"/>
  <c r="S193" i="7"/>
  <c r="T193" i="7"/>
  <c r="U193" i="7"/>
  <c r="P194" i="7"/>
  <c r="Q194" i="7"/>
  <c r="R194" i="7"/>
  <c r="S194" i="7"/>
  <c r="T194" i="7"/>
  <c r="U194" i="7"/>
  <c r="P195" i="7"/>
  <c r="Q195" i="7"/>
  <c r="R195" i="7"/>
  <c r="S195" i="7"/>
  <c r="T195" i="7"/>
  <c r="U195" i="7"/>
  <c r="P196" i="7"/>
  <c r="Q196" i="7"/>
  <c r="R196" i="7"/>
  <c r="S196" i="7"/>
  <c r="T196" i="7"/>
  <c r="U196" i="7"/>
  <c r="P197" i="7"/>
  <c r="Q197" i="7"/>
  <c r="R197" i="7"/>
  <c r="S197" i="7"/>
  <c r="T197" i="7"/>
  <c r="U197" i="7"/>
  <c r="P198" i="7"/>
  <c r="Q198" i="7"/>
  <c r="R198" i="7"/>
  <c r="S198" i="7"/>
  <c r="T198" i="7"/>
  <c r="U198" i="7"/>
  <c r="P199" i="7"/>
  <c r="Q199" i="7"/>
  <c r="R199" i="7"/>
  <c r="S199" i="7"/>
  <c r="T199" i="7"/>
  <c r="U199" i="7"/>
  <c r="P200" i="7"/>
  <c r="Q200" i="7"/>
  <c r="R200" i="7"/>
  <c r="S200" i="7"/>
  <c r="T200" i="7"/>
  <c r="U200" i="7"/>
  <c r="P201" i="7"/>
  <c r="Q201" i="7"/>
  <c r="R201" i="7"/>
  <c r="S201" i="7"/>
  <c r="T201" i="7"/>
  <c r="U201" i="7"/>
  <c r="P202" i="7"/>
  <c r="Q202" i="7"/>
  <c r="R202" i="7"/>
  <c r="S202" i="7"/>
  <c r="T202" i="7"/>
  <c r="U202" i="7"/>
  <c r="P203" i="7"/>
  <c r="Q203" i="7"/>
  <c r="R203" i="7"/>
  <c r="S203" i="7"/>
  <c r="T203" i="7"/>
  <c r="U203" i="7"/>
  <c r="P204" i="7"/>
  <c r="Q204" i="7"/>
  <c r="R204" i="7"/>
  <c r="S204" i="7"/>
  <c r="T204" i="7"/>
  <c r="U204" i="7"/>
  <c r="P205" i="7"/>
  <c r="Q205" i="7"/>
  <c r="R205" i="7"/>
  <c r="S205" i="7"/>
  <c r="T205" i="7"/>
  <c r="U205" i="7"/>
  <c r="P206" i="7"/>
  <c r="Q206" i="7"/>
  <c r="R206" i="7"/>
  <c r="S206" i="7"/>
  <c r="T206" i="7"/>
  <c r="U206" i="7"/>
  <c r="P207" i="7"/>
  <c r="Q207" i="7"/>
  <c r="R207" i="7"/>
  <c r="S207" i="7"/>
  <c r="T207" i="7"/>
  <c r="U207" i="7"/>
  <c r="P208" i="7"/>
  <c r="Q208" i="7"/>
  <c r="R208" i="7"/>
  <c r="S208" i="7"/>
  <c r="T208" i="7"/>
  <c r="U208" i="7"/>
  <c r="P209" i="7"/>
  <c r="Q209" i="7"/>
  <c r="R209" i="7"/>
  <c r="S209" i="7"/>
  <c r="T209" i="7"/>
  <c r="U209" i="7"/>
  <c r="P210" i="7"/>
  <c r="Q210" i="7"/>
  <c r="R210" i="7"/>
  <c r="S210" i="7"/>
  <c r="T210" i="7"/>
  <c r="U210" i="7"/>
  <c r="P211" i="7"/>
  <c r="Q211" i="7"/>
  <c r="R211" i="7"/>
  <c r="S211" i="7"/>
  <c r="T211" i="7"/>
  <c r="U211" i="7"/>
  <c r="P212" i="7"/>
  <c r="Q212" i="7"/>
  <c r="R212" i="7"/>
  <c r="S212" i="7"/>
  <c r="T212" i="7"/>
  <c r="U212" i="7"/>
  <c r="P213" i="7"/>
  <c r="Q213" i="7"/>
  <c r="R213" i="7"/>
  <c r="S213" i="7"/>
  <c r="T213" i="7"/>
  <c r="U213" i="7"/>
  <c r="P214" i="7"/>
  <c r="Q214" i="7"/>
  <c r="R214" i="7"/>
  <c r="S214" i="7"/>
  <c r="T214" i="7"/>
  <c r="U214" i="7"/>
  <c r="P215" i="7"/>
  <c r="Q215" i="7"/>
  <c r="R215" i="7"/>
  <c r="S215" i="7"/>
  <c r="T215" i="7"/>
  <c r="U215" i="7"/>
  <c r="P216" i="7"/>
  <c r="Q216" i="7"/>
  <c r="R216" i="7"/>
  <c r="S216" i="7"/>
  <c r="T216" i="7"/>
  <c r="U216" i="7"/>
  <c r="P217" i="7"/>
  <c r="Q217" i="7"/>
  <c r="R217" i="7"/>
  <c r="S217" i="7"/>
  <c r="T217" i="7"/>
  <c r="U217" i="7"/>
  <c r="P218" i="7"/>
  <c r="Q218" i="7"/>
  <c r="R218" i="7"/>
  <c r="S218" i="7"/>
  <c r="T218" i="7"/>
  <c r="U218" i="7"/>
  <c r="P219" i="7"/>
  <c r="Q219" i="7"/>
  <c r="R219" i="7"/>
  <c r="S219" i="7"/>
  <c r="T219" i="7"/>
  <c r="U219" i="7"/>
  <c r="P220" i="7"/>
  <c r="Q220" i="7"/>
  <c r="R220" i="7"/>
  <c r="S220" i="7"/>
  <c r="T220" i="7"/>
  <c r="U220" i="7"/>
  <c r="P221" i="7"/>
  <c r="Q221" i="7"/>
  <c r="R221" i="7"/>
  <c r="S221" i="7"/>
  <c r="T221" i="7"/>
  <c r="U221" i="7"/>
  <c r="P222" i="7"/>
  <c r="Q222" i="7"/>
  <c r="R222" i="7"/>
  <c r="S222" i="7"/>
  <c r="T222" i="7"/>
  <c r="U222" i="7"/>
  <c r="P223" i="7"/>
  <c r="Q223" i="7"/>
  <c r="R223" i="7"/>
  <c r="S223" i="7"/>
  <c r="T223" i="7"/>
  <c r="U223" i="7"/>
  <c r="P225" i="7"/>
  <c r="Q225" i="7"/>
  <c r="R225" i="7"/>
  <c r="S225" i="7"/>
  <c r="T225" i="7"/>
  <c r="U225" i="7"/>
  <c r="P226" i="7"/>
  <c r="Q226" i="7"/>
  <c r="R226" i="7"/>
  <c r="S226" i="7"/>
  <c r="T226" i="7"/>
  <c r="U226" i="7"/>
  <c r="I69" i="7"/>
  <c r="I70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54" i="7"/>
  <c r="I42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54" i="7"/>
  <c r="I43" i="7"/>
  <c r="I44" i="7"/>
  <c r="I45" i="7"/>
  <c r="I46" i="7"/>
  <c r="I47" i="7"/>
  <c r="I48" i="7"/>
  <c r="I49" i="7"/>
  <c r="I50" i="7"/>
  <c r="P27" i="7"/>
  <c r="Q27" i="7"/>
  <c r="R27" i="7"/>
  <c r="S27" i="7"/>
  <c r="T27" i="7"/>
  <c r="U27" i="7"/>
  <c r="Z28" i="7"/>
  <c r="Z29" i="7"/>
  <c r="Z30" i="7"/>
  <c r="Z31" i="7"/>
  <c r="Z32" i="7"/>
  <c r="Z33" i="7"/>
  <c r="Z34" i="7"/>
  <c r="Z35" i="7"/>
  <c r="Z36" i="7"/>
  <c r="Z37" i="7"/>
  <c r="Z38" i="7"/>
  <c r="Z27" i="7"/>
  <c r="Z13" i="7"/>
  <c r="AB13" i="7"/>
  <c r="Z14" i="7"/>
  <c r="AB14" i="7"/>
  <c r="Z15" i="7"/>
  <c r="AB15" i="7"/>
  <c r="Z16" i="7"/>
  <c r="AB16" i="7"/>
  <c r="Z17" i="7"/>
  <c r="AB17" i="7"/>
  <c r="Z18" i="7"/>
  <c r="AB18" i="7"/>
  <c r="Z19" i="7"/>
  <c r="AB19" i="7"/>
  <c r="Z20" i="7"/>
  <c r="AB20" i="7"/>
  <c r="Z21" i="7"/>
  <c r="AB21" i="7"/>
  <c r="Z22" i="7"/>
  <c r="AB22" i="7"/>
  <c r="Z23" i="7"/>
  <c r="AB23" i="7"/>
  <c r="Z12" i="7"/>
  <c r="AB12" i="7"/>
  <c r="AB28" i="7"/>
  <c r="AB29" i="7"/>
  <c r="AB30" i="7"/>
  <c r="AB31" i="7"/>
  <c r="AB32" i="7"/>
  <c r="AB33" i="7"/>
  <c r="AB34" i="7"/>
  <c r="AB35" i="7"/>
  <c r="AB36" i="7"/>
  <c r="AB37" i="7"/>
  <c r="AB38" i="7"/>
  <c r="AB27" i="7"/>
  <c r="C12" i="7"/>
  <c r="P13" i="7"/>
  <c r="Q13" i="7"/>
  <c r="R13" i="7"/>
  <c r="S13" i="7"/>
  <c r="T13" i="7"/>
  <c r="U13" i="7"/>
  <c r="P14" i="7"/>
  <c r="Q14" i="7"/>
  <c r="R14" i="7"/>
  <c r="S14" i="7"/>
  <c r="T14" i="7"/>
  <c r="U14" i="7"/>
  <c r="P15" i="7"/>
  <c r="Q15" i="7"/>
  <c r="R15" i="7"/>
  <c r="S15" i="7"/>
  <c r="T15" i="7"/>
  <c r="U15" i="7"/>
  <c r="P16" i="7"/>
  <c r="Q16" i="7"/>
  <c r="R16" i="7"/>
  <c r="S16" i="7"/>
  <c r="T16" i="7"/>
  <c r="U16" i="7"/>
  <c r="P17" i="7"/>
  <c r="Q17" i="7"/>
  <c r="R17" i="7"/>
  <c r="S17" i="7"/>
  <c r="T17" i="7"/>
  <c r="U17" i="7"/>
  <c r="P18" i="7"/>
  <c r="Q18" i="7"/>
  <c r="R18" i="7"/>
  <c r="S18" i="7"/>
  <c r="T18" i="7"/>
  <c r="U18" i="7"/>
  <c r="P19" i="7"/>
  <c r="Q19" i="7"/>
  <c r="R19" i="7"/>
  <c r="S19" i="7"/>
  <c r="T19" i="7"/>
  <c r="U19" i="7"/>
  <c r="P20" i="7"/>
  <c r="Q20" i="7"/>
  <c r="R20" i="7"/>
  <c r="S20" i="7"/>
  <c r="T20" i="7"/>
  <c r="U20" i="7"/>
  <c r="P21" i="7"/>
  <c r="Q21" i="7"/>
  <c r="R21" i="7"/>
  <c r="S21" i="7"/>
  <c r="T21" i="7"/>
  <c r="U21" i="7"/>
  <c r="P22" i="7"/>
  <c r="Q22" i="7"/>
  <c r="R22" i="7"/>
  <c r="S22" i="7"/>
  <c r="T22" i="7"/>
  <c r="U22" i="7"/>
  <c r="P23" i="7"/>
  <c r="Q23" i="7"/>
  <c r="R23" i="7"/>
  <c r="S23" i="7"/>
  <c r="T23" i="7"/>
  <c r="U23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2" i="7"/>
  <c r="C43" i="7"/>
  <c r="C44" i="7"/>
  <c r="C45" i="7"/>
  <c r="C46" i="7"/>
  <c r="C47" i="7"/>
  <c r="C48" i="7"/>
  <c r="C49" i="7"/>
  <c r="C50" i="7"/>
  <c r="C51" i="7"/>
  <c r="C52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5" i="7"/>
  <c r="C226" i="7"/>
  <c r="U12" i="7"/>
  <c r="Q12" i="7"/>
  <c r="R12" i="7"/>
  <c r="S12" i="7"/>
  <c r="T12" i="7"/>
  <c r="P12" i="7"/>
  <c r="P22" i="1"/>
  <c r="P23" i="1"/>
  <c r="P24" i="1"/>
  <c r="P25" i="1"/>
  <c r="P26" i="1"/>
  <c r="P27" i="1"/>
  <c r="P28" i="1"/>
  <c r="P29" i="1"/>
  <c r="P30" i="1"/>
  <c r="P31" i="1"/>
  <c r="P32" i="1"/>
  <c r="P21" i="1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59" i="4"/>
  <c r="G60" i="4"/>
  <c r="G61" i="4"/>
  <c r="G62" i="4"/>
  <c r="G49" i="4"/>
  <c r="G50" i="4"/>
  <c r="G51" i="4"/>
  <c r="G52" i="4"/>
  <c r="G53" i="4"/>
  <c r="G54" i="4"/>
  <c r="G55" i="4"/>
  <c r="G56" i="4"/>
  <c r="G57" i="4"/>
  <c r="G58" i="4"/>
  <c r="G48" i="4"/>
  <c r="G44" i="4"/>
  <c r="G36" i="4"/>
  <c r="S220" i="4"/>
  <c r="R220" i="4"/>
  <c r="Q220" i="4"/>
  <c r="P220" i="4"/>
  <c r="N220" i="4"/>
  <c r="C220" i="4"/>
  <c r="S219" i="4"/>
  <c r="R219" i="4"/>
  <c r="Q219" i="4"/>
  <c r="P219" i="4"/>
  <c r="N219" i="4"/>
  <c r="C219" i="4"/>
  <c r="S218" i="4"/>
  <c r="R218" i="4"/>
  <c r="Q218" i="4"/>
  <c r="P218" i="4"/>
  <c r="N218" i="4"/>
  <c r="S217" i="4"/>
  <c r="R217" i="4"/>
  <c r="Q217" i="4"/>
  <c r="P217" i="4"/>
  <c r="N217" i="4"/>
  <c r="S216" i="4"/>
  <c r="R216" i="4"/>
  <c r="Q216" i="4"/>
  <c r="P216" i="4"/>
  <c r="N216" i="4"/>
  <c r="S215" i="4"/>
  <c r="R215" i="4"/>
  <c r="Q215" i="4"/>
  <c r="P215" i="4"/>
  <c r="N215" i="4"/>
  <c r="E215" i="4"/>
  <c r="S214" i="4"/>
  <c r="R214" i="4"/>
  <c r="Q214" i="4"/>
  <c r="P214" i="4"/>
  <c r="N214" i="4"/>
  <c r="E214" i="4"/>
  <c r="S213" i="4"/>
  <c r="R213" i="4"/>
  <c r="Q213" i="4"/>
  <c r="P213" i="4"/>
  <c r="N213" i="4"/>
  <c r="E213" i="4"/>
  <c r="S212" i="4"/>
  <c r="R212" i="4"/>
  <c r="Q212" i="4"/>
  <c r="P212" i="4"/>
  <c r="N212" i="4"/>
  <c r="E212" i="4"/>
  <c r="S211" i="4"/>
  <c r="R211" i="4"/>
  <c r="Q211" i="4"/>
  <c r="P211" i="4"/>
  <c r="N211" i="4"/>
  <c r="E211" i="4"/>
  <c r="S210" i="4"/>
  <c r="R210" i="4"/>
  <c r="Q210" i="4"/>
  <c r="P210" i="4"/>
  <c r="N210" i="4"/>
  <c r="E210" i="4"/>
  <c r="S209" i="4"/>
  <c r="R209" i="4"/>
  <c r="Q209" i="4"/>
  <c r="P209" i="4"/>
  <c r="N209" i="4"/>
  <c r="E209" i="4"/>
  <c r="S208" i="4"/>
  <c r="R208" i="4"/>
  <c r="Q208" i="4"/>
  <c r="P208" i="4"/>
  <c r="N208" i="4"/>
  <c r="E208" i="4"/>
  <c r="S207" i="4"/>
  <c r="R207" i="4"/>
  <c r="Q207" i="4"/>
  <c r="P207" i="4"/>
  <c r="N207" i="4"/>
  <c r="E207" i="4"/>
  <c r="S206" i="4"/>
  <c r="R206" i="4"/>
  <c r="Q206" i="4"/>
  <c r="P206" i="4"/>
  <c r="N206" i="4"/>
  <c r="E206" i="4"/>
  <c r="S205" i="4"/>
  <c r="R205" i="4"/>
  <c r="Q205" i="4"/>
  <c r="P205" i="4"/>
  <c r="N205" i="4"/>
  <c r="E205" i="4"/>
  <c r="S204" i="4"/>
  <c r="R204" i="4"/>
  <c r="Q204" i="4"/>
  <c r="P204" i="4"/>
  <c r="N204" i="4"/>
  <c r="E204" i="4"/>
  <c r="S203" i="4"/>
  <c r="R203" i="4"/>
  <c r="Q203" i="4"/>
  <c r="P203" i="4"/>
  <c r="N203" i="4"/>
  <c r="E203" i="4"/>
  <c r="S202" i="4"/>
  <c r="R202" i="4"/>
  <c r="Q202" i="4"/>
  <c r="P202" i="4"/>
  <c r="N202" i="4"/>
  <c r="E202" i="4"/>
  <c r="S201" i="4"/>
  <c r="R201" i="4"/>
  <c r="Q201" i="4"/>
  <c r="P201" i="4"/>
  <c r="N201" i="4"/>
  <c r="E201" i="4"/>
  <c r="S200" i="4"/>
  <c r="R200" i="4"/>
  <c r="Q200" i="4"/>
  <c r="P200" i="4"/>
  <c r="N200" i="4"/>
  <c r="E200" i="4"/>
  <c r="S199" i="4"/>
  <c r="R199" i="4"/>
  <c r="Q199" i="4"/>
  <c r="P199" i="4"/>
  <c r="N199" i="4"/>
  <c r="E199" i="4"/>
  <c r="S198" i="4"/>
  <c r="R198" i="4"/>
  <c r="Q198" i="4"/>
  <c r="P198" i="4"/>
  <c r="N198" i="4"/>
  <c r="E198" i="4"/>
  <c r="S197" i="4"/>
  <c r="R197" i="4"/>
  <c r="Q197" i="4"/>
  <c r="P197" i="4"/>
  <c r="N197" i="4"/>
  <c r="E197" i="4"/>
  <c r="S196" i="4"/>
  <c r="R196" i="4"/>
  <c r="Q196" i="4"/>
  <c r="P196" i="4"/>
  <c r="N196" i="4"/>
  <c r="E196" i="4"/>
  <c r="S195" i="4"/>
  <c r="R195" i="4"/>
  <c r="Q195" i="4"/>
  <c r="P195" i="4"/>
  <c r="N195" i="4"/>
  <c r="E195" i="4"/>
  <c r="S194" i="4"/>
  <c r="R194" i="4"/>
  <c r="Q194" i="4"/>
  <c r="P194" i="4"/>
  <c r="N194" i="4"/>
  <c r="E194" i="4"/>
  <c r="S193" i="4"/>
  <c r="R193" i="4"/>
  <c r="Q193" i="4"/>
  <c r="P193" i="4"/>
  <c r="N193" i="4"/>
  <c r="E193" i="4"/>
  <c r="S192" i="4"/>
  <c r="R192" i="4"/>
  <c r="Q192" i="4"/>
  <c r="P192" i="4"/>
  <c r="N192" i="4"/>
  <c r="E192" i="4"/>
  <c r="S191" i="4"/>
  <c r="R191" i="4"/>
  <c r="Q191" i="4"/>
  <c r="P191" i="4"/>
  <c r="N191" i="4"/>
  <c r="E191" i="4"/>
  <c r="S190" i="4"/>
  <c r="R190" i="4"/>
  <c r="Q190" i="4"/>
  <c r="P190" i="4"/>
  <c r="N190" i="4"/>
  <c r="E190" i="4"/>
  <c r="S189" i="4"/>
  <c r="R189" i="4"/>
  <c r="Q189" i="4"/>
  <c r="P189" i="4"/>
  <c r="N189" i="4"/>
  <c r="E189" i="4"/>
  <c r="S188" i="4"/>
  <c r="R188" i="4"/>
  <c r="Q188" i="4"/>
  <c r="P188" i="4"/>
  <c r="N188" i="4"/>
  <c r="E188" i="4"/>
  <c r="S187" i="4"/>
  <c r="R187" i="4"/>
  <c r="Q187" i="4"/>
  <c r="P187" i="4"/>
  <c r="N187" i="4"/>
  <c r="E187" i="4"/>
  <c r="S186" i="4"/>
  <c r="R186" i="4"/>
  <c r="Q186" i="4"/>
  <c r="P186" i="4"/>
  <c r="N186" i="4"/>
  <c r="E186" i="4"/>
  <c r="S185" i="4"/>
  <c r="R185" i="4"/>
  <c r="Q185" i="4"/>
  <c r="P185" i="4"/>
  <c r="N185" i="4"/>
  <c r="E185" i="4"/>
  <c r="S184" i="4"/>
  <c r="R184" i="4"/>
  <c r="Q184" i="4"/>
  <c r="P184" i="4"/>
  <c r="N184" i="4"/>
  <c r="E184" i="4"/>
  <c r="S183" i="4"/>
  <c r="R183" i="4"/>
  <c r="Q183" i="4"/>
  <c r="P183" i="4"/>
  <c r="N183" i="4"/>
  <c r="E183" i="4"/>
  <c r="S182" i="4"/>
  <c r="R182" i="4"/>
  <c r="Q182" i="4"/>
  <c r="P182" i="4"/>
  <c r="N182" i="4"/>
  <c r="E182" i="4"/>
  <c r="S181" i="4"/>
  <c r="R181" i="4"/>
  <c r="Q181" i="4"/>
  <c r="P181" i="4"/>
  <c r="N181" i="4"/>
  <c r="E181" i="4"/>
  <c r="S180" i="4"/>
  <c r="R180" i="4"/>
  <c r="Q180" i="4"/>
  <c r="P180" i="4"/>
  <c r="N180" i="4"/>
  <c r="E180" i="4"/>
  <c r="S179" i="4"/>
  <c r="R179" i="4"/>
  <c r="Q179" i="4"/>
  <c r="P179" i="4"/>
  <c r="N179" i="4"/>
  <c r="E179" i="4"/>
  <c r="S178" i="4"/>
  <c r="R178" i="4"/>
  <c r="Q178" i="4"/>
  <c r="P178" i="4"/>
  <c r="N178" i="4"/>
  <c r="E178" i="4"/>
  <c r="S177" i="4"/>
  <c r="R177" i="4"/>
  <c r="Q177" i="4"/>
  <c r="P177" i="4"/>
  <c r="N177" i="4"/>
  <c r="E177" i="4"/>
  <c r="S176" i="4"/>
  <c r="R176" i="4"/>
  <c r="Q176" i="4"/>
  <c r="P176" i="4"/>
  <c r="N176" i="4"/>
  <c r="E176" i="4"/>
  <c r="S175" i="4"/>
  <c r="R175" i="4"/>
  <c r="Q175" i="4"/>
  <c r="P175" i="4"/>
  <c r="N175" i="4"/>
  <c r="E175" i="4"/>
  <c r="S174" i="4"/>
  <c r="R174" i="4"/>
  <c r="Q174" i="4"/>
  <c r="P174" i="4"/>
  <c r="N174" i="4"/>
  <c r="E174" i="4"/>
  <c r="S173" i="4"/>
  <c r="R173" i="4"/>
  <c r="Q173" i="4"/>
  <c r="P173" i="4"/>
  <c r="N173" i="4"/>
  <c r="E173" i="4"/>
  <c r="S172" i="4"/>
  <c r="R172" i="4"/>
  <c r="Q172" i="4"/>
  <c r="P172" i="4"/>
  <c r="N172" i="4"/>
  <c r="E172" i="4"/>
  <c r="S171" i="4"/>
  <c r="R171" i="4"/>
  <c r="Q171" i="4"/>
  <c r="P171" i="4"/>
  <c r="N171" i="4"/>
  <c r="E171" i="4"/>
  <c r="S170" i="4"/>
  <c r="R170" i="4"/>
  <c r="Q170" i="4"/>
  <c r="P170" i="4"/>
  <c r="N170" i="4"/>
  <c r="E170" i="4"/>
  <c r="S169" i="4"/>
  <c r="R169" i="4"/>
  <c r="Q169" i="4"/>
  <c r="P169" i="4"/>
  <c r="N169" i="4"/>
  <c r="E169" i="4"/>
  <c r="S168" i="4"/>
  <c r="R168" i="4"/>
  <c r="Q168" i="4"/>
  <c r="P168" i="4"/>
  <c r="N168" i="4"/>
  <c r="E168" i="4"/>
  <c r="S167" i="4"/>
  <c r="R167" i="4"/>
  <c r="Q167" i="4"/>
  <c r="P167" i="4"/>
  <c r="N167" i="4"/>
  <c r="E167" i="4"/>
  <c r="S166" i="4"/>
  <c r="R166" i="4"/>
  <c r="Q166" i="4"/>
  <c r="P166" i="4"/>
  <c r="N166" i="4"/>
  <c r="E166" i="4"/>
  <c r="S165" i="4"/>
  <c r="R165" i="4"/>
  <c r="Q165" i="4"/>
  <c r="P165" i="4"/>
  <c r="N165" i="4"/>
  <c r="E165" i="4"/>
  <c r="S164" i="4"/>
  <c r="R164" i="4"/>
  <c r="Q164" i="4"/>
  <c r="P164" i="4"/>
  <c r="N164" i="4"/>
  <c r="E164" i="4"/>
  <c r="S163" i="4"/>
  <c r="R163" i="4"/>
  <c r="Q163" i="4"/>
  <c r="P163" i="4"/>
  <c r="N163" i="4"/>
  <c r="E163" i="4"/>
  <c r="S162" i="4"/>
  <c r="R162" i="4"/>
  <c r="Q162" i="4"/>
  <c r="P162" i="4"/>
  <c r="N162" i="4"/>
  <c r="E162" i="4"/>
  <c r="S161" i="4"/>
  <c r="R161" i="4"/>
  <c r="Q161" i="4"/>
  <c r="P161" i="4"/>
  <c r="N161" i="4"/>
  <c r="E161" i="4"/>
  <c r="S160" i="4"/>
  <c r="R160" i="4"/>
  <c r="Q160" i="4"/>
  <c r="P160" i="4"/>
  <c r="N160" i="4"/>
  <c r="E160" i="4"/>
  <c r="S159" i="4"/>
  <c r="R159" i="4"/>
  <c r="Q159" i="4"/>
  <c r="P159" i="4"/>
  <c r="N159" i="4"/>
  <c r="E159" i="4"/>
  <c r="S158" i="4"/>
  <c r="R158" i="4"/>
  <c r="Q158" i="4"/>
  <c r="P158" i="4"/>
  <c r="N158" i="4"/>
  <c r="E158" i="4"/>
  <c r="S157" i="4"/>
  <c r="R157" i="4"/>
  <c r="Q157" i="4"/>
  <c r="P157" i="4"/>
  <c r="N157" i="4"/>
  <c r="E157" i="4"/>
  <c r="S156" i="4"/>
  <c r="R156" i="4"/>
  <c r="Q156" i="4"/>
  <c r="P156" i="4"/>
  <c r="N156" i="4"/>
  <c r="E156" i="4"/>
  <c r="S155" i="4"/>
  <c r="R155" i="4"/>
  <c r="Q155" i="4"/>
  <c r="P155" i="4"/>
  <c r="N155" i="4"/>
  <c r="E155" i="4"/>
  <c r="S154" i="4"/>
  <c r="R154" i="4"/>
  <c r="Q154" i="4"/>
  <c r="P154" i="4"/>
  <c r="N154" i="4"/>
  <c r="E154" i="4"/>
  <c r="S153" i="4"/>
  <c r="R153" i="4"/>
  <c r="Q153" i="4"/>
  <c r="P153" i="4"/>
  <c r="N153" i="4"/>
  <c r="E153" i="4"/>
  <c r="S152" i="4"/>
  <c r="R152" i="4"/>
  <c r="Q152" i="4"/>
  <c r="P152" i="4"/>
  <c r="N152" i="4"/>
  <c r="E152" i="4"/>
  <c r="S151" i="4"/>
  <c r="R151" i="4"/>
  <c r="Q151" i="4"/>
  <c r="P151" i="4"/>
  <c r="N151" i="4"/>
  <c r="E151" i="4"/>
  <c r="S150" i="4"/>
  <c r="R150" i="4"/>
  <c r="Q150" i="4"/>
  <c r="P150" i="4"/>
  <c r="N150" i="4"/>
  <c r="E150" i="4"/>
  <c r="S149" i="4"/>
  <c r="R149" i="4"/>
  <c r="Q149" i="4"/>
  <c r="P149" i="4"/>
  <c r="N149" i="4"/>
  <c r="E149" i="4"/>
  <c r="S148" i="4"/>
  <c r="R148" i="4"/>
  <c r="Q148" i="4"/>
  <c r="P148" i="4"/>
  <c r="N148" i="4"/>
  <c r="E148" i="4"/>
  <c r="S147" i="4"/>
  <c r="R147" i="4"/>
  <c r="Q147" i="4"/>
  <c r="P147" i="4"/>
  <c r="N147" i="4"/>
  <c r="E147" i="4"/>
  <c r="S146" i="4"/>
  <c r="R146" i="4"/>
  <c r="Q146" i="4"/>
  <c r="P146" i="4"/>
  <c r="N146" i="4"/>
  <c r="E146" i="4"/>
  <c r="S145" i="4"/>
  <c r="R145" i="4"/>
  <c r="Q145" i="4"/>
  <c r="P145" i="4"/>
  <c r="N145" i="4"/>
  <c r="E145" i="4"/>
  <c r="S144" i="4"/>
  <c r="R144" i="4"/>
  <c r="Q144" i="4"/>
  <c r="P144" i="4"/>
  <c r="N144" i="4"/>
  <c r="E144" i="4"/>
  <c r="S143" i="4"/>
  <c r="R143" i="4"/>
  <c r="Q143" i="4"/>
  <c r="P143" i="4"/>
  <c r="N143" i="4"/>
  <c r="E143" i="4"/>
  <c r="S142" i="4"/>
  <c r="R142" i="4"/>
  <c r="Q142" i="4"/>
  <c r="P142" i="4"/>
  <c r="N142" i="4"/>
  <c r="E142" i="4"/>
  <c r="S141" i="4"/>
  <c r="R141" i="4"/>
  <c r="Q141" i="4"/>
  <c r="P141" i="4"/>
  <c r="N141" i="4"/>
  <c r="E141" i="4"/>
  <c r="S140" i="4"/>
  <c r="R140" i="4"/>
  <c r="Q140" i="4"/>
  <c r="P140" i="4"/>
  <c r="N140" i="4"/>
  <c r="E140" i="4"/>
  <c r="S139" i="4"/>
  <c r="R139" i="4"/>
  <c r="Q139" i="4"/>
  <c r="P139" i="4"/>
  <c r="N139" i="4"/>
  <c r="E139" i="4"/>
  <c r="S138" i="4"/>
  <c r="R138" i="4"/>
  <c r="Q138" i="4"/>
  <c r="P138" i="4"/>
  <c r="N138" i="4"/>
  <c r="E138" i="4"/>
  <c r="S137" i="4"/>
  <c r="R137" i="4"/>
  <c r="Q137" i="4"/>
  <c r="P137" i="4"/>
  <c r="N137" i="4"/>
  <c r="E137" i="4"/>
  <c r="S136" i="4"/>
  <c r="R136" i="4"/>
  <c r="Q136" i="4"/>
  <c r="P136" i="4"/>
  <c r="N136" i="4"/>
  <c r="E136" i="4"/>
  <c r="S135" i="4"/>
  <c r="R135" i="4"/>
  <c r="Q135" i="4"/>
  <c r="P135" i="4"/>
  <c r="N135" i="4"/>
  <c r="E135" i="4"/>
  <c r="S134" i="4"/>
  <c r="R134" i="4"/>
  <c r="Q134" i="4"/>
  <c r="P134" i="4"/>
  <c r="N134" i="4"/>
  <c r="E134" i="4"/>
  <c r="S133" i="4"/>
  <c r="R133" i="4"/>
  <c r="Q133" i="4"/>
  <c r="P133" i="4"/>
  <c r="N133" i="4"/>
  <c r="E133" i="4"/>
  <c r="S132" i="4"/>
  <c r="R132" i="4"/>
  <c r="Q132" i="4"/>
  <c r="P132" i="4"/>
  <c r="N132" i="4"/>
  <c r="E132" i="4"/>
  <c r="S131" i="4"/>
  <c r="R131" i="4"/>
  <c r="Q131" i="4"/>
  <c r="P131" i="4"/>
  <c r="N131" i="4"/>
  <c r="E131" i="4"/>
  <c r="S130" i="4"/>
  <c r="R130" i="4"/>
  <c r="Q130" i="4"/>
  <c r="P130" i="4"/>
  <c r="N130" i="4"/>
  <c r="E130" i="4"/>
  <c r="S129" i="4"/>
  <c r="R129" i="4"/>
  <c r="Q129" i="4"/>
  <c r="P129" i="4"/>
  <c r="N129" i="4"/>
  <c r="E129" i="4"/>
  <c r="S128" i="4"/>
  <c r="R128" i="4"/>
  <c r="Q128" i="4"/>
  <c r="P128" i="4"/>
  <c r="N128" i="4"/>
  <c r="E128" i="4"/>
  <c r="C128" i="4"/>
  <c r="S127" i="4"/>
  <c r="R127" i="4"/>
  <c r="Q127" i="4"/>
  <c r="P127" i="4"/>
  <c r="N127" i="4"/>
  <c r="E127" i="4"/>
  <c r="S126" i="4"/>
  <c r="R126" i="4"/>
  <c r="Q126" i="4"/>
  <c r="P126" i="4"/>
  <c r="N126" i="4"/>
  <c r="E126" i="4"/>
  <c r="S125" i="4"/>
  <c r="R125" i="4"/>
  <c r="Q125" i="4"/>
  <c r="P125" i="4"/>
  <c r="N125" i="4"/>
  <c r="E125" i="4"/>
  <c r="S124" i="4"/>
  <c r="R124" i="4"/>
  <c r="Q124" i="4"/>
  <c r="P124" i="4"/>
  <c r="N124" i="4"/>
  <c r="E124" i="4"/>
  <c r="S123" i="4"/>
  <c r="R123" i="4"/>
  <c r="Q123" i="4"/>
  <c r="P123" i="4"/>
  <c r="N123" i="4"/>
  <c r="E123" i="4"/>
  <c r="S122" i="4"/>
  <c r="R122" i="4"/>
  <c r="Q122" i="4"/>
  <c r="P122" i="4"/>
  <c r="N122" i="4"/>
  <c r="E122" i="4"/>
  <c r="S121" i="4"/>
  <c r="R121" i="4"/>
  <c r="Q121" i="4"/>
  <c r="P121" i="4"/>
  <c r="N121" i="4"/>
  <c r="E121" i="4"/>
  <c r="S120" i="4"/>
  <c r="R120" i="4"/>
  <c r="Q120" i="4"/>
  <c r="P120" i="4"/>
  <c r="N120" i="4"/>
  <c r="E120" i="4"/>
  <c r="S119" i="4"/>
  <c r="R119" i="4"/>
  <c r="Q119" i="4"/>
  <c r="P119" i="4"/>
  <c r="N119" i="4"/>
  <c r="E119" i="4"/>
  <c r="S118" i="4"/>
  <c r="R118" i="4"/>
  <c r="Q118" i="4"/>
  <c r="P118" i="4"/>
  <c r="N118" i="4"/>
  <c r="E118" i="4"/>
  <c r="S117" i="4"/>
  <c r="R117" i="4"/>
  <c r="Q117" i="4"/>
  <c r="P117" i="4"/>
  <c r="N117" i="4"/>
  <c r="E117" i="4"/>
  <c r="S116" i="4"/>
  <c r="R116" i="4"/>
  <c r="Q116" i="4"/>
  <c r="P116" i="4"/>
  <c r="N116" i="4"/>
  <c r="E116" i="4"/>
  <c r="S115" i="4"/>
  <c r="R115" i="4"/>
  <c r="Q115" i="4"/>
  <c r="P115" i="4"/>
  <c r="N115" i="4"/>
  <c r="E115" i="4"/>
  <c r="S114" i="4"/>
  <c r="R114" i="4"/>
  <c r="Q114" i="4"/>
  <c r="P114" i="4"/>
  <c r="N114" i="4"/>
  <c r="E114" i="4"/>
  <c r="S113" i="4"/>
  <c r="R113" i="4"/>
  <c r="Q113" i="4"/>
  <c r="P113" i="4"/>
  <c r="N113" i="4"/>
  <c r="E113" i="4"/>
  <c r="S112" i="4"/>
  <c r="R112" i="4"/>
  <c r="Q112" i="4"/>
  <c r="P112" i="4"/>
  <c r="N112" i="4"/>
  <c r="E112" i="4"/>
  <c r="S111" i="4"/>
  <c r="R111" i="4"/>
  <c r="Q111" i="4"/>
  <c r="P111" i="4"/>
  <c r="N111" i="4"/>
  <c r="E111" i="4"/>
  <c r="S110" i="4"/>
  <c r="R110" i="4"/>
  <c r="Q110" i="4"/>
  <c r="P110" i="4"/>
  <c r="N110" i="4"/>
  <c r="E110" i="4"/>
  <c r="S109" i="4"/>
  <c r="R109" i="4"/>
  <c r="Q109" i="4"/>
  <c r="P109" i="4"/>
  <c r="N109" i="4"/>
  <c r="E109" i="4"/>
  <c r="S108" i="4"/>
  <c r="R108" i="4"/>
  <c r="Q108" i="4"/>
  <c r="P108" i="4"/>
  <c r="N108" i="4"/>
  <c r="E108" i="4"/>
  <c r="S107" i="4"/>
  <c r="R107" i="4"/>
  <c r="Q107" i="4"/>
  <c r="P107" i="4"/>
  <c r="N107" i="4"/>
  <c r="E107" i="4"/>
  <c r="S106" i="4"/>
  <c r="R106" i="4"/>
  <c r="Q106" i="4"/>
  <c r="P106" i="4"/>
  <c r="N106" i="4"/>
  <c r="E106" i="4"/>
  <c r="S105" i="4"/>
  <c r="R105" i="4"/>
  <c r="Q105" i="4"/>
  <c r="P105" i="4"/>
  <c r="N105" i="4"/>
  <c r="E105" i="4"/>
  <c r="S104" i="4"/>
  <c r="R104" i="4"/>
  <c r="Q104" i="4"/>
  <c r="P104" i="4"/>
  <c r="N104" i="4"/>
  <c r="E104" i="4"/>
  <c r="S103" i="4"/>
  <c r="R103" i="4"/>
  <c r="Q103" i="4"/>
  <c r="P103" i="4"/>
  <c r="N103" i="4"/>
  <c r="E103" i="4"/>
  <c r="S102" i="4"/>
  <c r="R102" i="4"/>
  <c r="Q102" i="4"/>
  <c r="P102" i="4"/>
  <c r="N102" i="4"/>
  <c r="E102" i="4"/>
  <c r="S101" i="4"/>
  <c r="R101" i="4"/>
  <c r="Q101" i="4"/>
  <c r="P101" i="4"/>
  <c r="N101" i="4"/>
  <c r="E101" i="4"/>
  <c r="S100" i="4"/>
  <c r="R100" i="4"/>
  <c r="Q100" i="4"/>
  <c r="P100" i="4"/>
  <c r="N100" i="4"/>
  <c r="E100" i="4"/>
  <c r="S99" i="4"/>
  <c r="R99" i="4"/>
  <c r="Q99" i="4"/>
  <c r="P99" i="4"/>
  <c r="N99" i="4"/>
  <c r="E99" i="4"/>
  <c r="S98" i="4"/>
  <c r="R98" i="4"/>
  <c r="Q98" i="4"/>
  <c r="P98" i="4"/>
  <c r="N98" i="4"/>
  <c r="E98" i="4"/>
  <c r="S97" i="4"/>
  <c r="R97" i="4"/>
  <c r="Q97" i="4"/>
  <c r="P97" i="4"/>
  <c r="N97" i="4"/>
  <c r="E97" i="4"/>
  <c r="S96" i="4"/>
  <c r="R96" i="4"/>
  <c r="Q96" i="4"/>
  <c r="P96" i="4"/>
  <c r="N96" i="4"/>
  <c r="E96" i="4"/>
  <c r="S95" i="4"/>
  <c r="R95" i="4"/>
  <c r="Q95" i="4"/>
  <c r="P95" i="4"/>
  <c r="N95" i="4"/>
  <c r="E95" i="4"/>
  <c r="S94" i="4"/>
  <c r="R94" i="4"/>
  <c r="Q94" i="4"/>
  <c r="P94" i="4"/>
  <c r="N94" i="4"/>
  <c r="E94" i="4"/>
  <c r="S93" i="4"/>
  <c r="R93" i="4"/>
  <c r="Q93" i="4"/>
  <c r="P93" i="4"/>
  <c r="N93" i="4"/>
  <c r="E93" i="4"/>
  <c r="S92" i="4"/>
  <c r="R92" i="4"/>
  <c r="Q92" i="4"/>
  <c r="P92" i="4"/>
  <c r="N92" i="4"/>
  <c r="E92" i="4"/>
  <c r="S91" i="4"/>
  <c r="R91" i="4"/>
  <c r="Q91" i="4"/>
  <c r="P91" i="4"/>
  <c r="N91" i="4"/>
  <c r="E91" i="4"/>
  <c r="S90" i="4"/>
  <c r="R90" i="4"/>
  <c r="Q90" i="4"/>
  <c r="P90" i="4"/>
  <c r="N90" i="4"/>
  <c r="E90" i="4"/>
  <c r="S89" i="4"/>
  <c r="R89" i="4"/>
  <c r="Q89" i="4"/>
  <c r="P89" i="4"/>
  <c r="N89" i="4"/>
  <c r="E89" i="4"/>
  <c r="C89" i="4"/>
  <c r="S88" i="4"/>
  <c r="R88" i="4"/>
  <c r="Q88" i="4"/>
  <c r="P88" i="4"/>
  <c r="N88" i="4"/>
  <c r="E88" i="4"/>
  <c r="S87" i="4"/>
  <c r="R87" i="4"/>
  <c r="Q87" i="4"/>
  <c r="P87" i="4"/>
  <c r="N87" i="4"/>
  <c r="E87" i="4"/>
  <c r="S86" i="4"/>
  <c r="R86" i="4"/>
  <c r="Q86" i="4"/>
  <c r="P86" i="4"/>
  <c r="N86" i="4"/>
  <c r="E86" i="4"/>
  <c r="S85" i="4"/>
  <c r="R85" i="4"/>
  <c r="Q85" i="4"/>
  <c r="P85" i="4"/>
  <c r="N85" i="4"/>
  <c r="E85" i="4"/>
  <c r="S84" i="4"/>
  <c r="R84" i="4"/>
  <c r="Q84" i="4"/>
  <c r="P84" i="4"/>
  <c r="N84" i="4"/>
  <c r="E84" i="4"/>
  <c r="S83" i="4"/>
  <c r="R83" i="4"/>
  <c r="Q83" i="4"/>
  <c r="P83" i="4"/>
  <c r="N83" i="4"/>
  <c r="E83" i="4"/>
  <c r="S82" i="4"/>
  <c r="R82" i="4"/>
  <c r="Q82" i="4"/>
  <c r="P82" i="4"/>
  <c r="N82" i="4"/>
  <c r="E82" i="4"/>
  <c r="S81" i="4"/>
  <c r="R81" i="4"/>
  <c r="Q81" i="4"/>
  <c r="P81" i="4"/>
  <c r="N81" i="4"/>
  <c r="E81" i="4"/>
  <c r="S80" i="4"/>
  <c r="R80" i="4"/>
  <c r="Q80" i="4"/>
  <c r="P80" i="4"/>
  <c r="N80" i="4"/>
  <c r="E80" i="4"/>
  <c r="S79" i="4"/>
  <c r="R79" i="4"/>
  <c r="Q79" i="4"/>
  <c r="P79" i="4"/>
  <c r="N79" i="4"/>
  <c r="E79" i="4"/>
  <c r="S78" i="4"/>
  <c r="R78" i="4"/>
  <c r="Q78" i="4"/>
  <c r="P78" i="4"/>
  <c r="N78" i="4"/>
  <c r="E78" i="4"/>
  <c r="S77" i="4"/>
  <c r="R77" i="4"/>
  <c r="Q77" i="4"/>
  <c r="P77" i="4"/>
  <c r="N77" i="4"/>
  <c r="E77" i="4"/>
  <c r="S76" i="4"/>
  <c r="R76" i="4"/>
  <c r="Q76" i="4"/>
  <c r="P76" i="4"/>
  <c r="N76" i="4"/>
  <c r="E76" i="4"/>
  <c r="S75" i="4"/>
  <c r="R75" i="4"/>
  <c r="Q75" i="4"/>
  <c r="P75" i="4"/>
  <c r="N75" i="4"/>
  <c r="E75" i="4"/>
  <c r="S74" i="4"/>
  <c r="R74" i="4"/>
  <c r="Q74" i="4"/>
  <c r="P74" i="4"/>
  <c r="N74" i="4"/>
  <c r="E74" i="4"/>
  <c r="S73" i="4"/>
  <c r="R73" i="4"/>
  <c r="Q73" i="4"/>
  <c r="P73" i="4"/>
  <c r="N73" i="4"/>
  <c r="E73" i="4"/>
  <c r="S72" i="4"/>
  <c r="R72" i="4"/>
  <c r="Q72" i="4"/>
  <c r="P72" i="4"/>
  <c r="N72" i="4"/>
  <c r="E72" i="4"/>
  <c r="S71" i="4"/>
  <c r="R71" i="4"/>
  <c r="Q71" i="4"/>
  <c r="P71" i="4"/>
  <c r="N71" i="4"/>
  <c r="E71" i="4"/>
  <c r="S70" i="4"/>
  <c r="R70" i="4"/>
  <c r="Q70" i="4"/>
  <c r="P70" i="4"/>
  <c r="N70" i="4"/>
  <c r="E70" i="4"/>
  <c r="S69" i="4"/>
  <c r="R69" i="4"/>
  <c r="Q69" i="4"/>
  <c r="P69" i="4"/>
  <c r="N69" i="4"/>
  <c r="E69" i="4"/>
  <c r="S68" i="4"/>
  <c r="R68" i="4"/>
  <c r="Q68" i="4"/>
  <c r="P68" i="4"/>
  <c r="N68" i="4"/>
  <c r="E68" i="4"/>
  <c r="S67" i="4"/>
  <c r="R67" i="4"/>
  <c r="Q67" i="4"/>
  <c r="P67" i="4"/>
  <c r="N67" i="4"/>
  <c r="E67" i="4"/>
  <c r="S66" i="4"/>
  <c r="R66" i="4"/>
  <c r="Q66" i="4"/>
  <c r="P66" i="4"/>
  <c r="N66" i="4"/>
  <c r="E66" i="4"/>
  <c r="C66" i="4"/>
  <c r="S65" i="4"/>
  <c r="R65" i="4"/>
  <c r="Q65" i="4"/>
  <c r="P65" i="4"/>
  <c r="N65" i="4"/>
  <c r="E65" i="4"/>
  <c r="S64" i="4"/>
  <c r="R64" i="4"/>
  <c r="Q64" i="4"/>
  <c r="P64" i="4"/>
  <c r="N64" i="4"/>
  <c r="E64" i="4"/>
  <c r="S63" i="4"/>
  <c r="R63" i="4"/>
  <c r="Q63" i="4"/>
  <c r="P63" i="4"/>
  <c r="N63" i="4"/>
  <c r="E63" i="4"/>
  <c r="S62" i="4"/>
  <c r="R62" i="4"/>
  <c r="Q62" i="4"/>
  <c r="P62" i="4"/>
  <c r="N62" i="4"/>
  <c r="E62" i="4"/>
  <c r="S61" i="4"/>
  <c r="R61" i="4"/>
  <c r="Q61" i="4"/>
  <c r="P61" i="4"/>
  <c r="N61" i="4"/>
  <c r="E61" i="4"/>
  <c r="S60" i="4"/>
  <c r="R60" i="4"/>
  <c r="Q60" i="4"/>
  <c r="P60" i="4"/>
  <c r="N60" i="4"/>
  <c r="E60" i="4"/>
  <c r="S59" i="4"/>
  <c r="R59" i="4"/>
  <c r="Q59" i="4"/>
  <c r="P59" i="4"/>
  <c r="N59" i="4"/>
  <c r="E59" i="4"/>
  <c r="S58" i="4"/>
  <c r="R58" i="4"/>
  <c r="Q58" i="4"/>
  <c r="P58" i="4"/>
  <c r="N58" i="4"/>
  <c r="E58" i="4"/>
  <c r="S57" i="4"/>
  <c r="R57" i="4"/>
  <c r="Q57" i="4"/>
  <c r="P57" i="4"/>
  <c r="N57" i="4"/>
  <c r="E57" i="4"/>
  <c r="S56" i="4"/>
  <c r="R56" i="4"/>
  <c r="Q56" i="4"/>
  <c r="P56" i="4"/>
  <c r="N56" i="4"/>
  <c r="E56" i="4"/>
  <c r="S55" i="4"/>
  <c r="R55" i="4"/>
  <c r="Q55" i="4"/>
  <c r="P55" i="4"/>
  <c r="N55" i="4"/>
  <c r="E55" i="4"/>
  <c r="S54" i="4"/>
  <c r="R54" i="4"/>
  <c r="Q54" i="4"/>
  <c r="P54" i="4"/>
  <c r="N54" i="4"/>
  <c r="E54" i="4"/>
  <c r="S53" i="4"/>
  <c r="R53" i="4"/>
  <c r="Q53" i="4"/>
  <c r="P53" i="4"/>
  <c r="N53" i="4"/>
  <c r="E53" i="4"/>
  <c r="S52" i="4"/>
  <c r="R52" i="4"/>
  <c r="Q52" i="4"/>
  <c r="P52" i="4"/>
  <c r="N52" i="4"/>
  <c r="E52" i="4"/>
  <c r="S51" i="4"/>
  <c r="R51" i="4"/>
  <c r="Q51" i="4"/>
  <c r="P51" i="4"/>
  <c r="N51" i="4"/>
  <c r="E51" i="4"/>
  <c r="S50" i="4"/>
  <c r="R50" i="4"/>
  <c r="Q50" i="4"/>
  <c r="P50" i="4"/>
  <c r="N50" i="4"/>
  <c r="E50" i="4"/>
  <c r="S49" i="4"/>
  <c r="R49" i="4"/>
  <c r="Q49" i="4"/>
  <c r="P49" i="4"/>
  <c r="N49" i="4"/>
  <c r="E49" i="4"/>
  <c r="S48" i="4"/>
  <c r="R48" i="4"/>
  <c r="Q48" i="4"/>
  <c r="P48" i="4"/>
  <c r="N48" i="4"/>
  <c r="E48" i="4"/>
  <c r="C48" i="4"/>
  <c r="S47" i="4"/>
  <c r="R47" i="4"/>
  <c r="Q47" i="4"/>
  <c r="P47" i="4"/>
  <c r="N47" i="4"/>
  <c r="S46" i="4"/>
  <c r="R46" i="4"/>
  <c r="Q46" i="4"/>
  <c r="P46" i="4"/>
  <c r="N46" i="4"/>
  <c r="S45" i="4"/>
  <c r="R45" i="4"/>
  <c r="Q45" i="4"/>
  <c r="P45" i="4"/>
  <c r="N45" i="4"/>
  <c r="S44" i="4"/>
  <c r="R44" i="4"/>
  <c r="Q44" i="4"/>
  <c r="P44" i="4"/>
  <c r="N44" i="4"/>
  <c r="S43" i="4"/>
  <c r="R43" i="4"/>
  <c r="Q43" i="4"/>
  <c r="P43" i="4"/>
  <c r="N43" i="4"/>
  <c r="S42" i="4"/>
  <c r="R42" i="4"/>
  <c r="Q42" i="4"/>
  <c r="P42" i="4"/>
  <c r="N42" i="4"/>
  <c r="S41" i="4"/>
  <c r="R41" i="4"/>
  <c r="Q41" i="4"/>
  <c r="P41" i="4"/>
  <c r="N41" i="4"/>
  <c r="S40" i="4"/>
  <c r="R40" i="4"/>
  <c r="Q40" i="4"/>
  <c r="P40" i="4"/>
  <c r="N40" i="4"/>
  <c r="S39" i="4"/>
  <c r="R39" i="4"/>
  <c r="Q39" i="4"/>
  <c r="P39" i="4"/>
  <c r="N39" i="4"/>
  <c r="S38" i="4"/>
  <c r="R38" i="4"/>
  <c r="Q38" i="4"/>
  <c r="P38" i="4"/>
  <c r="N38" i="4"/>
  <c r="S37" i="4"/>
  <c r="R37" i="4"/>
  <c r="Q37" i="4"/>
  <c r="P37" i="4"/>
  <c r="N37" i="4"/>
  <c r="S36" i="4"/>
  <c r="R36" i="4"/>
  <c r="Q36" i="4"/>
  <c r="P36" i="4"/>
  <c r="N36" i="4"/>
  <c r="C36" i="4"/>
  <c r="S35" i="4"/>
  <c r="R35" i="4"/>
  <c r="Q35" i="4"/>
  <c r="P35" i="4"/>
  <c r="N35" i="4"/>
  <c r="S34" i="4"/>
  <c r="R34" i="4"/>
  <c r="Q34" i="4"/>
  <c r="P34" i="4"/>
  <c r="N34" i="4"/>
  <c r="S33" i="4"/>
  <c r="R33" i="4"/>
  <c r="Q33" i="4"/>
  <c r="P33" i="4"/>
  <c r="N33" i="4"/>
  <c r="S32" i="4"/>
  <c r="R32" i="4"/>
  <c r="Q32" i="4"/>
  <c r="P32" i="4"/>
  <c r="N32" i="4"/>
  <c r="S31" i="4"/>
  <c r="R31" i="4"/>
  <c r="Q31" i="4"/>
  <c r="P31" i="4"/>
  <c r="N31" i="4"/>
  <c r="S30" i="4"/>
  <c r="R30" i="4"/>
  <c r="Q30" i="4"/>
  <c r="P30" i="4"/>
  <c r="N30" i="4"/>
  <c r="S29" i="4"/>
  <c r="R29" i="4"/>
  <c r="Q29" i="4"/>
  <c r="P29" i="4"/>
  <c r="N29" i="4"/>
  <c r="S28" i="4"/>
  <c r="R28" i="4"/>
  <c r="Q28" i="4"/>
  <c r="P28" i="4"/>
  <c r="N28" i="4"/>
  <c r="S27" i="4"/>
  <c r="R27" i="4"/>
  <c r="Q27" i="4"/>
  <c r="P27" i="4"/>
  <c r="N27" i="4"/>
  <c r="S26" i="4"/>
  <c r="R26" i="4"/>
  <c r="Q26" i="4"/>
  <c r="P26" i="4"/>
  <c r="N26" i="4"/>
  <c r="S25" i="4"/>
  <c r="R25" i="4"/>
  <c r="Q25" i="4"/>
  <c r="P25" i="4"/>
  <c r="N25" i="4"/>
  <c r="S24" i="4"/>
  <c r="R24" i="4"/>
  <c r="Q24" i="4"/>
  <c r="P24" i="4"/>
  <c r="N24" i="4"/>
  <c r="S23" i="4"/>
  <c r="R23" i="4"/>
  <c r="Q23" i="4"/>
  <c r="P23" i="4"/>
  <c r="N23" i="4"/>
  <c r="S22" i="4"/>
  <c r="R22" i="4"/>
  <c r="Q22" i="4"/>
  <c r="P22" i="4"/>
  <c r="N22" i="4"/>
  <c r="S21" i="4"/>
  <c r="R21" i="4"/>
  <c r="Q21" i="4"/>
  <c r="P21" i="4"/>
  <c r="N21" i="4"/>
  <c r="C21" i="4"/>
  <c r="S20" i="4"/>
  <c r="R20" i="4"/>
  <c r="Q20" i="4"/>
  <c r="P20" i="4"/>
  <c r="N20" i="4"/>
  <c r="S19" i="4"/>
  <c r="R19" i="4"/>
  <c r="Q19" i="4"/>
  <c r="P19" i="4"/>
  <c r="N19" i="4"/>
  <c r="S18" i="4"/>
  <c r="R18" i="4"/>
  <c r="Q18" i="4"/>
  <c r="P18" i="4"/>
  <c r="N18" i="4"/>
  <c r="S17" i="4"/>
  <c r="R17" i="4"/>
  <c r="Q17" i="4"/>
  <c r="P17" i="4"/>
  <c r="N17" i="4"/>
  <c r="S16" i="4"/>
  <c r="R16" i="4"/>
  <c r="Q16" i="4"/>
  <c r="P16" i="4"/>
  <c r="N16" i="4"/>
  <c r="S15" i="4"/>
  <c r="R15" i="4"/>
  <c r="Q15" i="4"/>
  <c r="P15" i="4"/>
  <c r="N15" i="4"/>
  <c r="S14" i="4"/>
  <c r="R14" i="4"/>
  <c r="Q14" i="4"/>
  <c r="P14" i="4"/>
  <c r="N14" i="4"/>
  <c r="S13" i="4"/>
  <c r="R13" i="4"/>
  <c r="Q13" i="4"/>
  <c r="P13" i="4"/>
  <c r="N13" i="4"/>
  <c r="S12" i="4"/>
  <c r="R12" i="4"/>
  <c r="Q12" i="4"/>
  <c r="P12" i="4"/>
  <c r="N12" i="4"/>
  <c r="S11" i="4"/>
  <c r="R11" i="4"/>
  <c r="Q11" i="4"/>
  <c r="P11" i="4"/>
  <c r="N11" i="4"/>
  <c r="S10" i="4"/>
  <c r="R10" i="4"/>
  <c r="Q10" i="4"/>
  <c r="P10" i="4"/>
  <c r="N10" i="4"/>
  <c r="S9" i="4"/>
  <c r="R9" i="4"/>
  <c r="Q9" i="4"/>
  <c r="P9" i="4"/>
  <c r="N9" i="4"/>
  <c r="S8" i="4"/>
  <c r="R8" i="4"/>
  <c r="Q8" i="4"/>
  <c r="P8" i="4"/>
  <c r="N8" i="4"/>
  <c r="S7" i="4"/>
  <c r="R7" i="4"/>
  <c r="Q7" i="4"/>
  <c r="P7" i="4"/>
  <c r="N7" i="4"/>
  <c r="S6" i="4"/>
  <c r="R6" i="4"/>
  <c r="Q6" i="4"/>
  <c r="P6" i="4"/>
  <c r="N6" i="4"/>
  <c r="C6" i="4"/>
  <c r="C220" i="1"/>
  <c r="C219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48" i="1"/>
  <c r="C128" i="1"/>
  <c r="C89" i="1"/>
  <c r="C66" i="1"/>
  <c r="C48" i="1"/>
  <c r="C36" i="1"/>
  <c r="C21" i="1"/>
  <c r="C6" i="1"/>
  <c r="N8" i="1"/>
  <c r="Q7" i="1"/>
  <c r="R7" i="1"/>
  <c r="S7" i="1"/>
  <c r="T7" i="1"/>
  <c r="N9" i="1"/>
  <c r="Q8" i="1"/>
  <c r="R8" i="1"/>
  <c r="S8" i="1"/>
  <c r="T8" i="1"/>
  <c r="N10" i="1"/>
  <c r="Q9" i="1"/>
  <c r="R9" i="1"/>
  <c r="S9" i="1"/>
  <c r="T9" i="1"/>
  <c r="N11" i="1"/>
  <c r="Q10" i="1"/>
  <c r="R10" i="1"/>
  <c r="S10" i="1"/>
  <c r="T10" i="1"/>
  <c r="N12" i="1"/>
  <c r="Q11" i="1"/>
  <c r="R11" i="1"/>
  <c r="S11" i="1"/>
  <c r="T11" i="1"/>
  <c r="N13" i="1"/>
  <c r="Q12" i="1"/>
  <c r="R12" i="1"/>
  <c r="S12" i="1"/>
  <c r="T12" i="1"/>
  <c r="N14" i="1"/>
  <c r="Q13" i="1"/>
  <c r="R13" i="1"/>
  <c r="S13" i="1"/>
  <c r="T13" i="1"/>
  <c r="N15" i="1"/>
  <c r="Q14" i="1"/>
  <c r="R14" i="1"/>
  <c r="S14" i="1"/>
  <c r="T14" i="1"/>
  <c r="N16" i="1"/>
  <c r="Q15" i="1"/>
  <c r="R15" i="1"/>
  <c r="S15" i="1"/>
  <c r="T15" i="1"/>
  <c r="N17" i="1"/>
  <c r="Q16" i="1"/>
  <c r="R16" i="1"/>
  <c r="S16" i="1"/>
  <c r="T16" i="1"/>
  <c r="N18" i="1"/>
  <c r="Q17" i="1"/>
  <c r="R17" i="1"/>
  <c r="S17" i="1"/>
  <c r="T17" i="1"/>
  <c r="Q18" i="1"/>
  <c r="R18" i="1"/>
  <c r="S18" i="1"/>
  <c r="N19" i="1"/>
  <c r="Q19" i="1"/>
  <c r="R19" i="1"/>
  <c r="S19" i="1"/>
  <c r="N21" i="1"/>
  <c r="Q21" i="1"/>
  <c r="R21" i="1"/>
  <c r="S21" i="1"/>
  <c r="T21" i="1"/>
  <c r="N22" i="1"/>
  <c r="Q22" i="1"/>
  <c r="R22" i="1"/>
  <c r="S22" i="1"/>
  <c r="T22" i="1"/>
  <c r="N23" i="1"/>
  <c r="Q23" i="1"/>
  <c r="R23" i="1"/>
  <c r="S23" i="1"/>
  <c r="T23" i="1"/>
  <c r="N24" i="1"/>
  <c r="Q24" i="1"/>
  <c r="R24" i="1"/>
  <c r="S24" i="1"/>
  <c r="T24" i="1"/>
  <c r="N25" i="1"/>
  <c r="Q25" i="1"/>
  <c r="R25" i="1"/>
  <c r="S25" i="1"/>
  <c r="T25" i="1"/>
  <c r="N26" i="1"/>
  <c r="Q26" i="1"/>
  <c r="R26" i="1"/>
  <c r="S26" i="1"/>
  <c r="T26" i="1"/>
  <c r="N27" i="1"/>
  <c r="Q27" i="1"/>
  <c r="R27" i="1"/>
  <c r="S27" i="1"/>
  <c r="T27" i="1"/>
  <c r="N28" i="1"/>
  <c r="Q28" i="1"/>
  <c r="R28" i="1"/>
  <c r="S28" i="1"/>
  <c r="T28" i="1"/>
  <c r="N29" i="1"/>
  <c r="Q29" i="1"/>
  <c r="R29" i="1"/>
  <c r="S29" i="1"/>
  <c r="T29" i="1"/>
  <c r="N30" i="1"/>
  <c r="Q30" i="1"/>
  <c r="R30" i="1"/>
  <c r="S30" i="1"/>
  <c r="T30" i="1"/>
  <c r="N31" i="1"/>
  <c r="Q31" i="1"/>
  <c r="R31" i="1"/>
  <c r="S31" i="1"/>
  <c r="T31" i="1"/>
  <c r="N32" i="1"/>
  <c r="Q32" i="1"/>
  <c r="R32" i="1"/>
  <c r="S32" i="1"/>
  <c r="T32" i="1"/>
  <c r="N33" i="1"/>
  <c r="Q33" i="1"/>
  <c r="R33" i="1"/>
  <c r="S33" i="1"/>
  <c r="T33" i="1"/>
  <c r="N34" i="1"/>
  <c r="Q34" i="1"/>
  <c r="R34" i="1"/>
  <c r="S34" i="1"/>
  <c r="T34" i="1"/>
  <c r="N35" i="1"/>
  <c r="Q35" i="1"/>
  <c r="R35" i="1"/>
  <c r="S35" i="1"/>
  <c r="T35" i="1"/>
  <c r="N36" i="1"/>
  <c r="Q36" i="1"/>
  <c r="R36" i="1"/>
  <c r="S36" i="1"/>
  <c r="T36" i="1"/>
  <c r="N37" i="1"/>
  <c r="Q37" i="1"/>
  <c r="R37" i="1"/>
  <c r="S37" i="1"/>
  <c r="T37" i="1"/>
  <c r="N38" i="1"/>
  <c r="Q38" i="1"/>
  <c r="R38" i="1"/>
  <c r="S38" i="1"/>
  <c r="T38" i="1"/>
  <c r="N39" i="1"/>
  <c r="Q39" i="1"/>
  <c r="R39" i="1"/>
  <c r="S39" i="1"/>
  <c r="T39" i="1"/>
  <c r="N40" i="1"/>
  <c r="Q40" i="1"/>
  <c r="R40" i="1"/>
  <c r="S40" i="1"/>
  <c r="T40" i="1"/>
  <c r="N41" i="1"/>
  <c r="Q41" i="1"/>
  <c r="R41" i="1"/>
  <c r="S41" i="1"/>
  <c r="T41" i="1"/>
  <c r="N42" i="1"/>
  <c r="Q42" i="1"/>
  <c r="R42" i="1"/>
  <c r="S42" i="1"/>
  <c r="T42" i="1"/>
  <c r="N43" i="1"/>
  <c r="Q43" i="1"/>
  <c r="R43" i="1"/>
  <c r="S43" i="1"/>
  <c r="T43" i="1"/>
  <c r="N44" i="1"/>
  <c r="Q44" i="1"/>
  <c r="R44" i="1"/>
  <c r="S44" i="1"/>
  <c r="T44" i="1"/>
  <c r="N45" i="1"/>
  <c r="Q45" i="1"/>
  <c r="R45" i="1"/>
  <c r="S45" i="1"/>
  <c r="T45" i="1"/>
  <c r="N46" i="1"/>
  <c r="Q46" i="1"/>
  <c r="R46" i="1"/>
  <c r="S46" i="1"/>
  <c r="T46" i="1"/>
  <c r="N47" i="1"/>
  <c r="Q47" i="1"/>
  <c r="R47" i="1"/>
  <c r="S47" i="1"/>
  <c r="T47" i="1"/>
  <c r="N48" i="1"/>
  <c r="Q48" i="1"/>
  <c r="R48" i="1"/>
  <c r="S48" i="1"/>
  <c r="T48" i="1"/>
  <c r="N49" i="1"/>
  <c r="Q49" i="1"/>
  <c r="R49" i="1"/>
  <c r="S49" i="1"/>
  <c r="T49" i="1"/>
  <c r="N50" i="1"/>
  <c r="Q50" i="1"/>
  <c r="R50" i="1"/>
  <c r="S50" i="1"/>
  <c r="T50" i="1"/>
  <c r="N51" i="1"/>
  <c r="Q51" i="1"/>
  <c r="R51" i="1"/>
  <c r="S51" i="1"/>
  <c r="T51" i="1"/>
  <c r="N52" i="1"/>
  <c r="Q52" i="1"/>
  <c r="R52" i="1"/>
  <c r="S52" i="1"/>
  <c r="T52" i="1"/>
  <c r="N53" i="1"/>
  <c r="Q53" i="1"/>
  <c r="R53" i="1"/>
  <c r="S53" i="1"/>
  <c r="T53" i="1"/>
  <c r="N54" i="1"/>
  <c r="Q54" i="1"/>
  <c r="R54" i="1"/>
  <c r="S54" i="1"/>
  <c r="T54" i="1"/>
  <c r="N55" i="1"/>
  <c r="Q55" i="1"/>
  <c r="R55" i="1"/>
  <c r="S55" i="1"/>
  <c r="T55" i="1"/>
  <c r="N56" i="1"/>
  <c r="Q56" i="1"/>
  <c r="R56" i="1"/>
  <c r="S56" i="1"/>
  <c r="T56" i="1"/>
  <c r="N57" i="1"/>
  <c r="Q57" i="1"/>
  <c r="R57" i="1"/>
  <c r="S57" i="1"/>
  <c r="T57" i="1"/>
  <c r="N58" i="1"/>
  <c r="Q58" i="1"/>
  <c r="R58" i="1"/>
  <c r="S58" i="1"/>
  <c r="T58" i="1"/>
  <c r="N59" i="1"/>
  <c r="Q59" i="1"/>
  <c r="R59" i="1"/>
  <c r="S59" i="1"/>
  <c r="T59" i="1"/>
  <c r="N60" i="1"/>
  <c r="Q60" i="1"/>
  <c r="R60" i="1"/>
  <c r="S60" i="1"/>
  <c r="T60" i="1"/>
  <c r="N61" i="1"/>
  <c r="Q61" i="1"/>
  <c r="R61" i="1"/>
  <c r="S61" i="1"/>
  <c r="T61" i="1"/>
  <c r="N62" i="1"/>
  <c r="Q62" i="1"/>
  <c r="R62" i="1"/>
  <c r="S62" i="1"/>
  <c r="T62" i="1"/>
  <c r="N63" i="1"/>
  <c r="Q63" i="1"/>
  <c r="R63" i="1"/>
  <c r="S63" i="1"/>
  <c r="T63" i="1"/>
  <c r="N64" i="1"/>
  <c r="Q64" i="1"/>
  <c r="R64" i="1"/>
  <c r="S64" i="1"/>
  <c r="T64" i="1"/>
  <c r="N65" i="1"/>
  <c r="Q65" i="1"/>
  <c r="R65" i="1"/>
  <c r="S65" i="1"/>
  <c r="T65" i="1"/>
  <c r="N66" i="1"/>
  <c r="Q66" i="1"/>
  <c r="R66" i="1"/>
  <c r="S66" i="1"/>
  <c r="T66" i="1"/>
  <c r="N67" i="1"/>
  <c r="Q67" i="1"/>
  <c r="R67" i="1"/>
  <c r="S67" i="1"/>
  <c r="T67" i="1"/>
  <c r="N68" i="1"/>
  <c r="Q68" i="1"/>
  <c r="R68" i="1"/>
  <c r="S68" i="1"/>
  <c r="T68" i="1"/>
  <c r="N69" i="1"/>
  <c r="Q69" i="1"/>
  <c r="R69" i="1"/>
  <c r="S69" i="1"/>
  <c r="T69" i="1"/>
  <c r="N70" i="1"/>
  <c r="Q70" i="1"/>
  <c r="R70" i="1"/>
  <c r="S70" i="1"/>
  <c r="T70" i="1"/>
  <c r="N71" i="1"/>
  <c r="Q71" i="1"/>
  <c r="R71" i="1"/>
  <c r="S71" i="1"/>
  <c r="T71" i="1"/>
  <c r="N72" i="1"/>
  <c r="Q72" i="1"/>
  <c r="R72" i="1"/>
  <c r="S72" i="1"/>
  <c r="T72" i="1"/>
  <c r="N73" i="1"/>
  <c r="Q73" i="1"/>
  <c r="R73" i="1"/>
  <c r="S73" i="1"/>
  <c r="T73" i="1"/>
  <c r="N74" i="1"/>
  <c r="Q74" i="1"/>
  <c r="R74" i="1"/>
  <c r="S74" i="1"/>
  <c r="T74" i="1"/>
  <c r="N75" i="1"/>
  <c r="Q75" i="1"/>
  <c r="R75" i="1"/>
  <c r="S75" i="1"/>
  <c r="T75" i="1"/>
  <c r="N76" i="1"/>
  <c r="Q76" i="1"/>
  <c r="R76" i="1"/>
  <c r="S76" i="1"/>
  <c r="T76" i="1"/>
  <c r="N77" i="1"/>
  <c r="Q77" i="1"/>
  <c r="R77" i="1"/>
  <c r="S77" i="1"/>
  <c r="T77" i="1"/>
  <c r="N78" i="1"/>
  <c r="Q78" i="1"/>
  <c r="R78" i="1"/>
  <c r="S78" i="1"/>
  <c r="T78" i="1"/>
  <c r="N79" i="1"/>
  <c r="Q79" i="1"/>
  <c r="R79" i="1"/>
  <c r="S79" i="1"/>
  <c r="T79" i="1"/>
  <c r="N80" i="1"/>
  <c r="Q80" i="1"/>
  <c r="R80" i="1"/>
  <c r="S80" i="1"/>
  <c r="T80" i="1"/>
  <c r="N81" i="1"/>
  <c r="Q81" i="1"/>
  <c r="R81" i="1"/>
  <c r="S81" i="1"/>
  <c r="T81" i="1"/>
  <c r="N82" i="1"/>
  <c r="Q82" i="1"/>
  <c r="R82" i="1"/>
  <c r="S82" i="1"/>
  <c r="T82" i="1"/>
  <c r="N83" i="1"/>
  <c r="Q83" i="1"/>
  <c r="R83" i="1"/>
  <c r="S83" i="1"/>
  <c r="T83" i="1"/>
  <c r="N84" i="1"/>
  <c r="Q84" i="1"/>
  <c r="R84" i="1"/>
  <c r="S84" i="1"/>
  <c r="T84" i="1"/>
  <c r="N85" i="1"/>
  <c r="Q85" i="1"/>
  <c r="R85" i="1"/>
  <c r="S85" i="1"/>
  <c r="T85" i="1"/>
  <c r="N86" i="1"/>
  <c r="Q86" i="1"/>
  <c r="R86" i="1"/>
  <c r="S86" i="1"/>
  <c r="T86" i="1"/>
  <c r="N87" i="1"/>
  <c r="Q87" i="1"/>
  <c r="R87" i="1"/>
  <c r="S87" i="1"/>
  <c r="T87" i="1"/>
  <c r="N88" i="1"/>
  <c r="Q88" i="1"/>
  <c r="R88" i="1"/>
  <c r="S88" i="1"/>
  <c r="T88" i="1"/>
  <c r="N89" i="1"/>
  <c r="Q89" i="1"/>
  <c r="R89" i="1"/>
  <c r="S89" i="1"/>
  <c r="T89" i="1"/>
  <c r="N90" i="1"/>
  <c r="Q90" i="1"/>
  <c r="R90" i="1"/>
  <c r="S90" i="1"/>
  <c r="T90" i="1"/>
  <c r="N91" i="1"/>
  <c r="Q91" i="1"/>
  <c r="R91" i="1"/>
  <c r="S91" i="1"/>
  <c r="T91" i="1"/>
  <c r="N92" i="1"/>
  <c r="Q92" i="1"/>
  <c r="R92" i="1"/>
  <c r="S92" i="1"/>
  <c r="T92" i="1"/>
  <c r="N93" i="1"/>
  <c r="Q93" i="1"/>
  <c r="R93" i="1"/>
  <c r="S93" i="1"/>
  <c r="T93" i="1"/>
  <c r="N94" i="1"/>
  <c r="Q94" i="1"/>
  <c r="R94" i="1"/>
  <c r="S94" i="1"/>
  <c r="T94" i="1"/>
  <c r="N95" i="1"/>
  <c r="Q95" i="1"/>
  <c r="R95" i="1"/>
  <c r="S95" i="1"/>
  <c r="T95" i="1"/>
  <c r="N96" i="1"/>
  <c r="Q96" i="1"/>
  <c r="R96" i="1"/>
  <c r="S96" i="1"/>
  <c r="T96" i="1"/>
  <c r="N97" i="1"/>
  <c r="Q97" i="1"/>
  <c r="R97" i="1"/>
  <c r="S97" i="1"/>
  <c r="T97" i="1"/>
  <c r="N98" i="1"/>
  <c r="Q98" i="1"/>
  <c r="R98" i="1"/>
  <c r="S98" i="1"/>
  <c r="T98" i="1"/>
  <c r="N99" i="1"/>
  <c r="Q99" i="1"/>
  <c r="R99" i="1"/>
  <c r="S99" i="1"/>
  <c r="T99" i="1"/>
  <c r="N100" i="1"/>
  <c r="Q100" i="1"/>
  <c r="R100" i="1"/>
  <c r="S100" i="1"/>
  <c r="T100" i="1"/>
  <c r="N101" i="1"/>
  <c r="Q101" i="1"/>
  <c r="R101" i="1"/>
  <c r="S101" i="1"/>
  <c r="T101" i="1"/>
  <c r="N102" i="1"/>
  <c r="Q102" i="1"/>
  <c r="R102" i="1"/>
  <c r="S102" i="1"/>
  <c r="T102" i="1"/>
  <c r="N103" i="1"/>
  <c r="Q103" i="1"/>
  <c r="R103" i="1"/>
  <c r="S103" i="1"/>
  <c r="T103" i="1"/>
  <c r="N104" i="1"/>
  <c r="Q104" i="1"/>
  <c r="R104" i="1"/>
  <c r="S104" i="1"/>
  <c r="T104" i="1"/>
  <c r="N105" i="1"/>
  <c r="Q105" i="1"/>
  <c r="R105" i="1"/>
  <c r="S105" i="1"/>
  <c r="T105" i="1"/>
  <c r="N106" i="1"/>
  <c r="Q106" i="1"/>
  <c r="R106" i="1"/>
  <c r="S106" i="1"/>
  <c r="T106" i="1"/>
  <c r="N107" i="1"/>
  <c r="Q107" i="1"/>
  <c r="R107" i="1"/>
  <c r="S107" i="1"/>
  <c r="T107" i="1"/>
  <c r="N108" i="1"/>
  <c r="Q108" i="1"/>
  <c r="R108" i="1"/>
  <c r="S108" i="1"/>
  <c r="T108" i="1"/>
  <c r="N109" i="1"/>
  <c r="Q109" i="1"/>
  <c r="R109" i="1"/>
  <c r="S109" i="1"/>
  <c r="T109" i="1"/>
  <c r="N110" i="1"/>
  <c r="Q110" i="1"/>
  <c r="R110" i="1"/>
  <c r="S110" i="1"/>
  <c r="T110" i="1"/>
  <c r="N111" i="1"/>
  <c r="Q111" i="1"/>
  <c r="R111" i="1"/>
  <c r="S111" i="1"/>
  <c r="T111" i="1"/>
  <c r="N112" i="1"/>
  <c r="Q112" i="1"/>
  <c r="R112" i="1"/>
  <c r="S112" i="1"/>
  <c r="T112" i="1"/>
  <c r="N113" i="1"/>
  <c r="Q113" i="1"/>
  <c r="R113" i="1"/>
  <c r="S113" i="1"/>
  <c r="T113" i="1"/>
  <c r="N114" i="1"/>
  <c r="Q114" i="1"/>
  <c r="R114" i="1"/>
  <c r="S114" i="1"/>
  <c r="T114" i="1"/>
  <c r="N115" i="1"/>
  <c r="Q115" i="1"/>
  <c r="R115" i="1"/>
  <c r="S115" i="1"/>
  <c r="T115" i="1"/>
  <c r="N116" i="1"/>
  <c r="Q116" i="1"/>
  <c r="R116" i="1"/>
  <c r="S116" i="1"/>
  <c r="T116" i="1"/>
  <c r="N117" i="1"/>
  <c r="Q117" i="1"/>
  <c r="R117" i="1"/>
  <c r="S117" i="1"/>
  <c r="T117" i="1"/>
  <c r="N118" i="1"/>
  <c r="Q118" i="1"/>
  <c r="R118" i="1"/>
  <c r="S118" i="1"/>
  <c r="T118" i="1"/>
  <c r="N119" i="1"/>
  <c r="Q119" i="1"/>
  <c r="R119" i="1"/>
  <c r="S119" i="1"/>
  <c r="T119" i="1"/>
  <c r="N120" i="1"/>
  <c r="Q120" i="1"/>
  <c r="R120" i="1"/>
  <c r="S120" i="1"/>
  <c r="T120" i="1"/>
  <c r="N121" i="1"/>
  <c r="Q121" i="1"/>
  <c r="R121" i="1"/>
  <c r="S121" i="1"/>
  <c r="T121" i="1"/>
  <c r="N122" i="1"/>
  <c r="Q122" i="1"/>
  <c r="R122" i="1"/>
  <c r="S122" i="1"/>
  <c r="T122" i="1"/>
  <c r="N123" i="1"/>
  <c r="Q123" i="1"/>
  <c r="R123" i="1"/>
  <c r="S123" i="1"/>
  <c r="T123" i="1"/>
  <c r="N124" i="1"/>
  <c r="Q124" i="1"/>
  <c r="R124" i="1"/>
  <c r="S124" i="1"/>
  <c r="T124" i="1"/>
  <c r="N125" i="1"/>
  <c r="Q125" i="1"/>
  <c r="R125" i="1"/>
  <c r="S125" i="1"/>
  <c r="T125" i="1"/>
  <c r="N126" i="1"/>
  <c r="Q126" i="1"/>
  <c r="R126" i="1"/>
  <c r="S126" i="1"/>
  <c r="T126" i="1"/>
  <c r="N127" i="1"/>
  <c r="Q127" i="1"/>
  <c r="R127" i="1"/>
  <c r="S127" i="1"/>
  <c r="T127" i="1"/>
  <c r="N128" i="1"/>
  <c r="Q128" i="1"/>
  <c r="R128" i="1"/>
  <c r="S128" i="1"/>
  <c r="T128" i="1"/>
  <c r="N129" i="1"/>
  <c r="Q129" i="1"/>
  <c r="R129" i="1"/>
  <c r="S129" i="1"/>
  <c r="T129" i="1"/>
  <c r="N130" i="1"/>
  <c r="Q130" i="1"/>
  <c r="R130" i="1"/>
  <c r="S130" i="1"/>
  <c r="T130" i="1"/>
  <c r="N131" i="1"/>
  <c r="Q131" i="1"/>
  <c r="R131" i="1"/>
  <c r="S131" i="1"/>
  <c r="T131" i="1"/>
  <c r="N132" i="1"/>
  <c r="Q132" i="1"/>
  <c r="R132" i="1"/>
  <c r="S132" i="1"/>
  <c r="T132" i="1"/>
  <c r="N133" i="1"/>
  <c r="Q133" i="1"/>
  <c r="R133" i="1"/>
  <c r="S133" i="1"/>
  <c r="T133" i="1"/>
  <c r="N134" i="1"/>
  <c r="Q134" i="1"/>
  <c r="R134" i="1"/>
  <c r="S134" i="1"/>
  <c r="T134" i="1"/>
  <c r="N135" i="1"/>
  <c r="Q135" i="1"/>
  <c r="R135" i="1"/>
  <c r="S135" i="1"/>
  <c r="T135" i="1"/>
  <c r="N136" i="1"/>
  <c r="Q136" i="1"/>
  <c r="R136" i="1"/>
  <c r="S136" i="1"/>
  <c r="T136" i="1"/>
  <c r="N137" i="1"/>
  <c r="Q137" i="1"/>
  <c r="R137" i="1"/>
  <c r="S137" i="1"/>
  <c r="T137" i="1"/>
  <c r="N138" i="1"/>
  <c r="Q138" i="1"/>
  <c r="R138" i="1"/>
  <c r="S138" i="1"/>
  <c r="T138" i="1"/>
  <c r="N139" i="1"/>
  <c r="Q139" i="1"/>
  <c r="R139" i="1"/>
  <c r="S139" i="1"/>
  <c r="T139" i="1"/>
  <c r="N140" i="1"/>
  <c r="Q140" i="1"/>
  <c r="R140" i="1"/>
  <c r="S140" i="1"/>
  <c r="T140" i="1"/>
  <c r="N141" i="1"/>
  <c r="Q141" i="1"/>
  <c r="R141" i="1"/>
  <c r="S141" i="1"/>
  <c r="T141" i="1"/>
  <c r="N142" i="1"/>
  <c r="Q142" i="1"/>
  <c r="R142" i="1"/>
  <c r="S142" i="1"/>
  <c r="T142" i="1"/>
  <c r="N143" i="1"/>
  <c r="Q143" i="1"/>
  <c r="R143" i="1"/>
  <c r="S143" i="1"/>
  <c r="T143" i="1"/>
  <c r="N144" i="1"/>
  <c r="Q144" i="1"/>
  <c r="R144" i="1"/>
  <c r="S144" i="1"/>
  <c r="T144" i="1"/>
  <c r="N145" i="1"/>
  <c r="Q145" i="1"/>
  <c r="R145" i="1"/>
  <c r="S145" i="1"/>
  <c r="T145" i="1"/>
  <c r="N146" i="1"/>
  <c r="Q146" i="1"/>
  <c r="R146" i="1"/>
  <c r="S146" i="1"/>
  <c r="T146" i="1"/>
  <c r="N147" i="1"/>
  <c r="Q147" i="1"/>
  <c r="R147" i="1"/>
  <c r="S147" i="1"/>
  <c r="T147" i="1"/>
  <c r="N148" i="1"/>
  <c r="Q148" i="1"/>
  <c r="R148" i="1"/>
  <c r="S148" i="1"/>
  <c r="T148" i="1"/>
  <c r="N149" i="1"/>
  <c r="Q149" i="1"/>
  <c r="R149" i="1"/>
  <c r="S149" i="1"/>
  <c r="T149" i="1"/>
  <c r="N150" i="1"/>
  <c r="Q150" i="1"/>
  <c r="R150" i="1"/>
  <c r="S150" i="1"/>
  <c r="T150" i="1"/>
  <c r="N151" i="1"/>
  <c r="Q151" i="1"/>
  <c r="R151" i="1"/>
  <c r="S151" i="1"/>
  <c r="T151" i="1"/>
  <c r="N152" i="1"/>
  <c r="Q152" i="1"/>
  <c r="R152" i="1"/>
  <c r="S152" i="1"/>
  <c r="T152" i="1"/>
  <c r="N153" i="1"/>
  <c r="Q153" i="1"/>
  <c r="R153" i="1"/>
  <c r="S153" i="1"/>
  <c r="T153" i="1"/>
  <c r="N154" i="1"/>
  <c r="Q154" i="1"/>
  <c r="R154" i="1"/>
  <c r="S154" i="1"/>
  <c r="T154" i="1"/>
  <c r="N155" i="1"/>
  <c r="Q155" i="1"/>
  <c r="R155" i="1"/>
  <c r="S155" i="1"/>
  <c r="T155" i="1"/>
  <c r="N156" i="1"/>
  <c r="Q156" i="1"/>
  <c r="R156" i="1"/>
  <c r="S156" i="1"/>
  <c r="T156" i="1"/>
  <c r="N157" i="1"/>
  <c r="Q157" i="1"/>
  <c r="R157" i="1"/>
  <c r="S157" i="1"/>
  <c r="T157" i="1"/>
  <c r="N158" i="1"/>
  <c r="Q158" i="1"/>
  <c r="R158" i="1"/>
  <c r="S158" i="1"/>
  <c r="T158" i="1"/>
  <c r="N159" i="1"/>
  <c r="Q159" i="1"/>
  <c r="R159" i="1"/>
  <c r="S159" i="1"/>
  <c r="T159" i="1"/>
  <c r="N160" i="1"/>
  <c r="Q160" i="1"/>
  <c r="R160" i="1"/>
  <c r="S160" i="1"/>
  <c r="T160" i="1"/>
  <c r="N161" i="1"/>
  <c r="Q161" i="1"/>
  <c r="R161" i="1"/>
  <c r="S161" i="1"/>
  <c r="T161" i="1"/>
  <c r="N162" i="1"/>
  <c r="Q162" i="1"/>
  <c r="R162" i="1"/>
  <c r="S162" i="1"/>
  <c r="T162" i="1"/>
  <c r="N163" i="1"/>
  <c r="Q163" i="1"/>
  <c r="R163" i="1"/>
  <c r="S163" i="1"/>
  <c r="T163" i="1"/>
  <c r="N164" i="1"/>
  <c r="Q164" i="1"/>
  <c r="R164" i="1"/>
  <c r="S164" i="1"/>
  <c r="T164" i="1"/>
  <c r="N165" i="1"/>
  <c r="Q165" i="1"/>
  <c r="R165" i="1"/>
  <c r="S165" i="1"/>
  <c r="T165" i="1"/>
  <c r="N166" i="1"/>
  <c r="Q166" i="1"/>
  <c r="R166" i="1"/>
  <c r="S166" i="1"/>
  <c r="T166" i="1"/>
  <c r="N167" i="1"/>
  <c r="Q167" i="1"/>
  <c r="R167" i="1"/>
  <c r="S167" i="1"/>
  <c r="T167" i="1"/>
  <c r="N168" i="1"/>
  <c r="Q168" i="1"/>
  <c r="R168" i="1"/>
  <c r="S168" i="1"/>
  <c r="T168" i="1"/>
  <c r="N169" i="1"/>
  <c r="Q169" i="1"/>
  <c r="R169" i="1"/>
  <c r="S169" i="1"/>
  <c r="T169" i="1"/>
  <c r="N170" i="1"/>
  <c r="Q170" i="1"/>
  <c r="R170" i="1"/>
  <c r="S170" i="1"/>
  <c r="T170" i="1"/>
  <c r="N171" i="1"/>
  <c r="Q171" i="1"/>
  <c r="R171" i="1"/>
  <c r="S171" i="1"/>
  <c r="T171" i="1"/>
  <c r="N172" i="1"/>
  <c r="Q172" i="1"/>
  <c r="R172" i="1"/>
  <c r="S172" i="1"/>
  <c r="T172" i="1"/>
  <c r="N173" i="1"/>
  <c r="Q173" i="1"/>
  <c r="R173" i="1"/>
  <c r="S173" i="1"/>
  <c r="T173" i="1"/>
  <c r="N174" i="1"/>
  <c r="Q174" i="1"/>
  <c r="R174" i="1"/>
  <c r="S174" i="1"/>
  <c r="T174" i="1"/>
  <c r="N175" i="1"/>
  <c r="Q175" i="1"/>
  <c r="R175" i="1"/>
  <c r="S175" i="1"/>
  <c r="T175" i="1"/>
  <c r="N176" i="1"/>
  <c r="Q176" i="1"/>
  <c r="R176" i="1"/>
  <c r="S176" i="1"/>
  <c r="T176" i="1"/>
  <c r="N177" i="1"/>
  <c r="Q177" i="1"/>
  <c r="R177" i="1"/>
  <c r="S177" i="1"/>
  <c r="T177" i="1"/>
  <c r="N178" i="1"/>
  <c r="Q178" i="1"/>
  <c r="R178" i="1"/>
  <c r="S178" i="1"/>
  <c r="T178" i="1"/>
  <c r="N179" i="1"/>
  <c r="Q179" i="1"/>
  <c r="R179" i="1"/>
  <c r="S179" i="1"/>
  <c r="T179" i="1"/>
  <c r="N180" i="1"/>
  <c r="Q180" i="1"/>
  <c r="R180" i="1"/>
  <c r="S180" i="1"/>
  <c r="T180" i="1"/>
  <c r="N181" i="1"/>
  <c r="Q181" i="1"/>
  <c r="R181" i="1"/>
  <c r="S181" i="1"/>
  <c r="T181" i="1"/>
  <c r="N182" i="1"/>
  <c r="Q182" i="1"/>
  <c r="R182" i="1"/>
  <c r="S182" i="1"/>
  <c r="T182" i="1"/>
  <c r="N183" i="1"/>
  <c r="Q183" i="1"/>
  <c r="R183" i="1"/>
  <c r="S183" i="1"/>
  <c r="T183" i="1"/>
  <c r="N184" i="1"/>
  <c r="Q184" i="1"/>
  <c r="R184" i="1"/>
  <c r="S184" i="1"/>
  <c r="T184" i="1"/>
  <c r="N185" i="1"/>
  <c r="Q185" i="1"/>
  <c r="R185" i="1"/>
  <c r="S185" i="1"/>
  <c r="T185" i="1"/>
  <c r="N186" i="1"/>
  <c r="Q186" i="1"/>
  <c r="R186" i="1"/>
  <c r="S186" i="1"/>
  <c r="T186" i="1"/>
  <c r="N187" i="1"/>
  <c r="Q187" i="1"/>
  <c r="R187" i="1"/>
  <c r="S187" i="1"/>
  <c r="T187" i="1"/>
  <c r="N188" i="1"/>
  <c r="Q188" i="1"/>
  <c r="R188" i="1"/>
  <c r="S188" i="1"/>
  <c r="T188" i="1"/>
  <c r="N189" i="1"/>
  <c r="Q189" i="1"/>
  <c r="R189" i="1"/>
  <c r="S189" i="1"/>
  <c r="T189" i="1"/>
  <c r="N190" i="1"/>
  <c r="Q190" i="1"/>
  <c r="R190" i="1"/>
  <c r="S190" i="1"/>
  <c r="T190" i="1"/>
  <c r="N191" i="1"/>
  <c r="Q191" i="1"/>
  <c r="R191" i="1"/>
  <c r="S191" i="1"/>
  <c r="T191" i="1"/>
  <c r="N192" i="1"/>
  <c r="Q192" i="1"/>
  <c r="R192" i="1"/>
  <c r="S192" i="1"/>
  <c r="T192" i="1"/>
  <c r="N193" i="1"/>
  <c r="Q193" i="1"/>
  <c r="R193" i="1"/>
  <c r="S193" i="1"/>
  <c r="T193" i="1"/>
  <c r="N194" i="1"/>
  <c r="Q194" i="1"/>
  <c r="R194" i="1"/>
  <c r="S194" i="1"/>
  <c r="T194" i="1"/>
  <c r="N195" i="1"/>
  <c r="Q195" i="1"/>
  <c r="R195" i="1"/>
  <c r="S195" i="1"/>
  <c r="T195" i="1"/>
  <c r="N196" i="1"/>
  <c r="Q196" i="1"/>
  <c r="R196" i="1"/>
  <c r="S196" i="1"/>
  <c r="T196" i="1"/>
  <c r="N197" i="1"/>
  <c r="Q197" i="1"/>
  <c r="R197" i="1"/>
  <c r="S197" i="1"/>
  <c r="T197" i="1"/>
  <c r="N198" i="1"/>
  <c r="Q198" i="1"/>
  <c r="R198" i="1"/>
  <c r="S198" i="1"/>
  <c r="T198" i="1"/>
  <c r="N199" i="1"/>
  <c r="Q199" i="1"/>
  <c r="R199" i="1"/>
  <c r="S199" i="1"/>
  <c r="T199" i="1"/>
  <c r="N200" i="1"/>
  <c r="Q200" i="1"/>
  <c r="R200" i="1"/>
  <c r="S200" i="1"/>
  <c r="T200" i="1"/>
  <c r="N201" i="1"/>
  <c r="Q201" i="1"/>
  <c r="R201" i="1"/>
  <c r="S201" i="1"/>
  <c r="T201" i="1"/>
  <c r="N202" i="1"/>
  <c r="Q202" i="1"/>
  <c r="R202" i="1"/>
  <c r="S202" i="1"/>
  <c r="T202" i="1"/>
  <c r="N203" i="1"/>
  <c r="Q203" i="1"/>
  <c r="R203" i="1"/>
  <c r="S203" i="1"/>
  <c r="T203" i="1"/>
  <c r="N204" i="1"/>
  <c r="Q204" i="1"/>
  <c r="R204" i="1"/>
  <c r="S204" i="1"/>
  <c r="T204" i="1"/>
  <c r="N205" i="1"/>
  <c r="Q205" i="1"/>
  <c r="R205" i="1"/>
  <c r="S205" i="1"/>
  <c r="T205" i="1"/>
  <c r="N206" i="1"/>
  <c r="Q206" i="1"/>
  <c r="R206" i="1"/>
  <c r="S206" i="1"/>
  <c r="T206" i="1"/>
  <c r="N207" i="1"/>
  <c r="Q207" i="1"/>
  <c r="R207" i="1"/>
  <c r="S207" i="1"/>
  <c r="T207" i="1"/>
  <c r="N208" i="1"/>
  <c r="Q208" i="1"/>
  <c r="R208" i="1"/>
  <c r="S208" i="1"/>
  <c r="T208" i="1"/>
  <c r="N209" i="1"/>
  <c r="Q209" i="1"/>
  <c r="R209" i="1"/>
  <c r="S209" i="1"/>
  <c r="T209" i="1"/>
  <c r="N210" i="1"/>
  <c r="Q210" i="1"/>
  <c r="R210" i="1"/>
  <c r="S210" i="1"/>
  <c r="T210" i="1"/>
  <c r="N211" i="1"/>
  <c r="Q211" i="1"/>
  <c r="R211" i="1"/>
  <c r="S211" i="1"/>
  <c r="T211" i="1"/>
  <c r="N212" i="1"/>
  <c r="Q212" i="1"/>
  <c r="R212" i="1"/>
  <c r="S212" i="1"/>
  <c r="T212" i="1"/>
  <c r="N213" i="1"/>
  <c r="Q213" i="1"/>
  <c r="R213" i="1"/>
  <c r="S213" i="1"/>
  <c r="T213" i="1"/>
  <c r="N214" i="1"/>
  <c r="Q214" i="1"/>
  <c r="R214" i="1"/>
  <c r="S214" i="1"/>
  <c r="T214" i="1"/>
  <c r="N215" i="1"/>
  <c r="Q215" i="1"/>
  <c r="R215" i="1"/>
  <c r="S215" i="1"/>
  <c r="T215" i="1"/>
  <c r="N216" i="1"/>
  <c r="Q216" i="1"/>
  <c r="R216" i="1"/>
  <c r="S216" i="1"/>
  <c r="T216" i="1"/>
  <c r="N217" i="1"/>
  <c r="Q217" i="1"/>
  <c r="R217" i="1"/>
  <c r="S217" i="1"/>
  <c r="T217" i="1"/>
  <c r="N218" i="1"/>
  <c r="Q218" i="1"/>
  <c r="R218" i="1"/>
  <c r="S218" i="1"/>
  <c r="T218" i="1"/>
  <c r="N219" i="1"/>
  <c r="Q219" i="1"/>
  <c r="R219" i="1"/>
  <c r="S219" i="1"/>
  <c r="T219" i="1"/>
  <c r="N220" i="1"/>
  <c r="Q220" i="1"/>
  <c r="R220" i="1"/>
  <c r="S220" i="1"/>
  <c r="T220" i="1"/>
  <c r="Q6" i="1"/>
  <c r="R6" i="1"/>
  <c r="S6" i="1"/>
  <c r="T6" i="1"/>
  <c r="N7" i="1"/>
</calcChain>
</file>

<file path=xl/sharedStrings.xml><?xml version="1.0" encoding="utf-8"?>
<sst xmlns="http://schemas.openxmlformats.org/spreadsheetml/2006/main" count="1827" uniqueCount="135">
  <si>
    <t>Source; https://www.uaex.uada.edu/publications/pdf/MP391.pdf</t>
  </si>
  <si>
    <t>Beef Cattle</t>
  </si>
  <si>
    <t>Mature Cow</t>
  </si>
  <si>
    <t>Avg Weight [lbs]</t>
  </si>
  <si>
    <t>Months Since Calving</t>
  </si>
  <si>
    <t>Stage</t>
  </si>
  <si>
    <t>Early Lactation</t>
  </si>
  <si>
    <t>Mid Lactation</t>
  </si>
  <si>
    <t>Mid Gestation</t>
  </si>
  <si>
    <t>Late Gestation</t>
  </si>
  <si>
    <t>Daily Nutrients Required</t>
  </si>
  <si>
    <t>TDN [lbs]</t>
  </si>
  <si>
    <t>CP [lbs]</t>
  </si>
  <si>
    <t>Ca [lbs]</t>
  </si>
  <si>
    <t>P [lbs]</t>
  </si>
  <si>
    <t>Intake lbs DM/d</t>
  </si>
  <si>
    <t>TDN %DM</t>
  </si>
  <si>
    <t>NEm Mcal/lb</t>
  </si>
  <si>
    <t>CP %DM</t>
  </si>
  <si>
    <t>Ca %DM</t>
  </si>
  <si>
    <t>P %DM</t>
  </si>
  <si>
    <t>Daily Nutrients as Percentage of Intake</t>
  </si>
  <si>
    <t>First Calf Heifer</t>
  </si>
  <si>
    <t>NEm [Mcal]</t>
  </si>
  <si>
    <t>NEg Mcal/lb</t>
  </si>
  <si>
    <t>Bred Heifer</t>
  </si>
  <si>
    <t>Months since conception</t>
  </si>
  <si>
    <t>Mature Weight [lbs]</t>
  </si>
  <si>
    <t>Weight [lbs]</t>
  </si>
  <si>
    <t>Growing Replacement Heifer</t>
  </si>
  <si>
    <t>ADG Target [lbs]</t>
  </si>
  <si>
    <t>Weight Range</t>
  </si>
  <si>
    <t>Ca - Calcium</t>
  </si>
  <si>
    <t>CP - Crude Protein</t>
  </si>
  <si>
    <t>CPadj - Crude protein adjusted to a 6:1 TDN:CP ratio</t>
  </si>
  <si>
    <t>DM - Dry Matter</t>
  </si>
  <si>
    <t>NEg - Net energy for gain</t>
  </si>
  <si>
    <t>NEm - Net energy for maintenance</t>
  </si>
  <si>
    <t>P - Phosphorus</t>
  </si>
  <si>
    <t>TDN - Total digestible nutrients</t>
  </si>
  <si>
    <t>Feeder Calves &lt;11 months of age</t>
  </si>
  <si>
    <t>Feeder Yearlings &gt;11 months of age</t>
  </si>
  <si>
    <t>Growing Bull Calves &lt;11 months</t>
  </si>
  <si>
    <t>Growing Bull Yearlings &gt;12 months</t>
  </si>
  <si>
    <t>Beef</t>
  </si>
  <si>
    <t>Cattle</t>
  </si>
  <si>
    <t>Nutrition</t>
  </si>
  <si>
    <t>Series</t>
  </si>
  <si>
    <t>Publications</t>
  </si>
  <si>
    <t>This</t>
  </si>
  <si>
    <t>publication</t>
  </si>
  <si>
    <t>is</t>
  </si>
  <si>
    <t>one</t>
  </si>
  <si>
    <t>component</t>
  </si>
  <si>
    <t>of</t>
  </si>
  <si>
    <t>a</t>
  </si>
  <si>
    <t>series.</t>
  </si>
  <si>
    <t>Part</t>
  </si>
  <si>
    <t>Nutrient</t>
  </si>
  <si>
    <t>Basics</t>
  </si>
  <si>
    <t>(FSA3078)</t>
  </si>
  <si>
    <t>Establishing</t>
  </si>
  <si>
    <t>Nutritional</t>
  </si>
  <si>
    <t>Requirements</t>
  </si>
  <si>
    <t>(FSA3079)</t>
  </si>
  <si>
    <t>Requirement</t>
  </si>
  <si>
    <t>Tables</t>
  </si>
  <si>
    <t>(MP391)</t>
  </si>
  <si>
    <t>Formulating</t>
  </si>
  <si>
    <t>Rations</t>
  </si>
  <si>
    <t>(FSA3080)</t>
  </si>
  <si>
    <t>Some</t>
  </si>
  <si>
    <t>Mature Bull Maintenance</t>
  </si>
  <si>
    <t>Dry (Far off)</t>
  </si>
  <si>
    <t>Close (Close up)</t>
  </si>
  <si>
    <t>Cow - Fresh</t>
  </si>
  <si>
    <t>Cow - Early</t>
  </si>
  <si>
    <t>Cow - Mid</t>
  </si>
  <si>
    <t>Cow - Late</t>
  </si>
  <si>
    <t>6-mo Heifer</t>
  </si>
  <si>
    <t>12-mo Heifer</t>
  </si>
  <si>
    <t>18-mo Heifer</t>
  </si>
  <si>
    <t>24-mo Heifer (Close up)</t>
  </si>
  <si>
    <t>Body wt (kg)</t>
  </si>
  <si>
    <t>DMI (kg/day)</t>
  </si>
  <si>
    <t>RDP (%)</t>
  </si>
  <si>
    <t>RUP (%)</t>
  </si>
  <si>
    <t>MP (%)</t>
  </si>
  <si>
    <t>ME (Mcal/kg)</t>
  </si>
  <si>
    <t>NDF (%)</t>
  </si>
  <si>
    <t>ADF (%)</t>
  </si>
  <si>
    <t>NFC (%)</t>
  </si>
  <si>
    <t>Calcium (%)</t>
  </si>
  <si>
    <t>Phosphorus (%)</t>
  </si>
  <si>
    <t>Magnesium (%)</t>
  </si>
  <si>
    <t>Chlorine (%)</t>
  </si>
  <si>
    <t>Sodium (%)</t>
  </si>
  <si>
    <t>Potassium (%)</t>
  </si>
  <si>
    <t>Sulfur (%)</t>
  </si>
  <si>
    <t>Vitamin A (IU/day)</t>
  </si>
  <si>
    <t>Vitamin D (IU/day)</t>
  </si>
  <si>
    <t>Vitamin E (IU/day)</t>
  </si>
  <si>
    <t>Milk productiona (kg/day)</t>
  </si>
  <si>
    <t>Crude protein (%)b</t>
  </si>
  <si>
    <t>NEL (Mcal/kg)</t>
  </si>
  <si>
    <t>DMI, dry-matter intake</t>
  </si>
  <si>
    <t>RDP, rumen degradable protein</t>
  </si>
  <si>
    <t>RUP, rumen undegraded protein</t>
  </si>
  <si>
    <t>MP, metabolizable protein</t>
  </si>
  <si>
    <t>NEL, net energy lactation</t>
  </si>
  <si>
    <t>ME, metabolizable energy</t>
  </si>
  <si>
    <t>NDF, neutral detergent fiber</t>
  </si>
  <si>
    <t>ADF, acid detergent fiber</t>
  </si>
  <si>
    <t>NFC, nonfiber carbohydrates.</t>
  </si>
  <si>
    <t>Source: https://www.msdvetmanual.com/management-and-nutrition/nutrition-dairy-cattle/nutritional-requirements-of-dairy-cattle</t>
  </si>
  <si>
    <t xml:space="preserve">lb to Kg </t>
  </si>
  <si>
    <t>TDN [kgs]</t>
  </si>
  <si>
    <t>CP [kgs]</t>
  </si>
  <si>
    <t>Ca [kgs]</t>
  </si>
  <si>
    <t>P [kgs]</t>
  </si>
  <si>
    <t>Intake kgs DM/d</t>
  </si>
  <si>
    <t>Weight Range(Kg)</t>
  </si>
  <si>
    <t>Weight [KGS]</t>
  </si>
  <si>
    <t>Avg Weight [KGS]</t>
  </si>
  <si>
    <t>Target ADG</t>
  </si>
  <si>
    <t>Neg/kg</t>
  </si>
  <si>
    <t>Men Mcal/Kg</t>
  </si>
  <si>
    <t>Neg Mcal/Kg</t>
  </si>
  <si>
    <t>Weight Range (kgs)</t>
  </si>
  <si>
    <t>Neg MCal/Kg</t>
  </si>
  <si>
    <t>TDN [Kgs]</t>
  </si>
  <si>
    <t>Weight [kgs]</t>
  </si>
  <si>
    <t>Avg Weight [kgs]</t>
  </si>
  <si>
    <t>ADG Target [kgs]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</si>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</sst>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theme="1"/>
      <name val="ArialMT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rgb="FF000000"/>
      <name val="Arial"/>
      <family val="2"/>
    </font>
    <font>
      <sz val="9"/>
      <color theme="5" tint="0.3999755851924192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2" xfId="0" applyFont="1" applyBorder="1"/>
    <xf numFmtId="0" fontId="1" fillId="0" borderId="1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2" fillId="0" borderId="0" xfId="0" applyFont="1" applyAlignment="1">
      <alignment wrapText="1"/>
    </xf>
    <xf numFmtId="3" fontId="1" fillId="0" borderId="0" xfId="0" applyNumberFormat="1" applyFont="1"/>
    <xf numFmtId="3" fontId="1" fillId="0" borderId="7" xfId="0" applyNumberFormat="1" applyFont="1" applyBorder="1"/>
    <xf numFmtId="3" fontId="1" fillId="0" borderId="0" xfId="0" applyNumberFormat="1" applyFont="1" applyAlignment="1">
      <alignment wrapText="1"/>
    </xf>
    <xf numFmtId="0" fontId="3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Border="1" applyAlignment="1">
      <alignment wrapText="1"/>
    </xf>
    <xf numFmtId="0" fontId="1" fillId="0" borderId="0" xfId="0" applyFont="1" applyBorder="1"/>
    <xf numFmtId="0" fontId="1" fillId="2" borderId="0" xfId="0" applyFont="1" applyFill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wrapText="1"/>
    </xf>
    <xf numFmtId="0" fontId="1" fillId="2" borderId="0" xfId="0" applyFont="1" applyFill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2" xfId="0" applyFont="1" applyFill="1" applyBorder="1"/>
    <xf numFmtId="0" fontId="4" fillId="0" borderId="0" xfId="0" applyFont="1"/>
    <xf numFmtId="0" fontId="4" fillId="2" borderId="0" xfId="0" applyFont="1" applyFill="1" applyAlignment="1">
      <alignment wrapText="1"/>
    </xf>
    <xf numFmtId="0" fontId="4" fillId="0" borderId="0" xfId="0" applyFont="1" applyBorder="1"/>
    <xf numFmtId="0" fontId="1" fillId="2" borderId="0" xfId="0" applyFont="1" applyFill="1" applyBorder="1" applyAlignment="1">
      <alignment wrapText="1"/>
    </xf>
    <xf numFmtId="0" fontId="1" fillId="2" borderId="0" xfId="0" applyFont="1" applyFill="1" applyBorder="1"/>
    <xf numFmtId="0" fontId="1" fillId="2" borderId="0" xfId="0" applyFont="1" applyFill="1" applyBorder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1" fillId="3" borderId="7" xfId="0" applyFont="1" applyFill="1" applyBorder="1"/>
    <xf numFmtId="2" fontId="1" fillId="3" borderId="0" xfId="0" applyNumberFormat="1" applyFont="1" applyFill="1"/>
    <xf numFmtId="2" fontId="1" fillId="3" borderId="4" xfId="0" applyNumberFormat="1" applyFont="1" applyFill="1" applyBorder="1" applyAlignment="1">
      <alignment wrapText="1"/>
    </xf>
    <xf numFmtId="2" fontId="1" fillId="3" borderId="0" xfId="0" applyNumberFormat="1" applyFont="1" applyFill="1" applyAlignment="1">
      <alignment wrapText="1"/>
    </xf>
    <xf numFmtId="2" fontId="1" fillId="3" borderId="5" xfId="0" applyNumberFormat="1" applyFont="1" applyFill="1" applyBorder="1" applyAlignment="1">
      <alignment wrapText="1"/>
    </xf>
    <xf numFmtId="2" fontId="1" fillId="3" borderId="0" xfId="0" applyNumberFormat="1" applyFont="1" applyFill="1" applyBorder="1"/>
    <xf numFmtId="2" fontId="1" fillId="3" borderId="7" xfId="0" applyNumberFormat="1" applyFont="1" applyFill="1" applyBorder="1"/>
    <xf numFmtId="2" fontId="1" fillId="3" borderId="2" xfId="0" applyNumberFormat="1" applyFont="1" applyFill="1" applyBorder="1"/>
    <xf numFmtId="0" fontId="1" fillId="0" borderId="0" xfId="0" applyFont="1" applyFill="1"/>
    <xf numFmtId="0" fontId="1" fillId="0" borderId="0" xfId="0" applyFont="1" applyFill="1" applyAlignment="1">
      <alignment wrapText="1"/>
    </xf>
    <xf numFmtId="0" fontId="1" fillId="0" borderId="7" xfId="0" applyFont="1" applyFill="1" applyBorder="1"/>
    <xf numFmtId="0" fontId="1" fillId="3" borderId="2" xfId="0" applyFont="1" applyFill="1" applyBorder="1"/>
    <xf numFmtId="2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48E9B-97D8-894A-BDB7-7E3472F0AB39}">
  <dimension ref="A1:AD285"/>
  <sheetViews>
    <sheetView topLeftCell="A2" zoomScale="142" workbookViewId="0">
      <selection activeCell="X20" sqref="X20"/>
    </sheetView>
  </sheetViews>
  <sheetFormatPr baseColWidth="10" defaultRowHeight="12"/>
  <cols>
    <col min="1" max="1" width="14.83203125" style="2" customWidth="1"/>
    <col min="2" max="3" width="11.6640625" style="1" customWidth="1"/>
    <col min="4" max="5" width="16.6640625" style="1" customWidth="1"/>
    <col min="6" max="6" width="13.83203125" style="25" customWidth="1"/>
    <col min="7" max="7" width="10.1640625" style="25" customWidth="1"/>
    <col min="8" max="8" width="8.33203125" style="25" customWidth="1"/>
    <col min="9" max="9" width="7.5" style="25" customWidth="1"/>
    <col min="10" max="10" width="9.6640625" style="25" bestFit="1" customWidth="1"/>
    <col min="11" max="11" width="10.5" style="25" bestFit="1" customWidth="1"/>
    <col min="12" max="12" width="8.33203125" style="25" bestFit="1" customWidth="1"/>
    <col min="13" max="13" width="8.33203125" style="25" customWidth="1"/>
    <col min="14" max="14" width="7.83203125" style="1" customWidth="1"/>
    <col min="15" max="16" width="7.83203125" style="38" customWidth="1"/>
    <col min="17" max="25" width="7.83203125" style="1" customWidth="1"/>
    <col min="26" max="16384" width="10.83203125" style="1"/>
  </cols>
  <sheetData>
    <row r="1" spans="1:30" ht="13">
      <c r="A1" s="14" t="s">
        <v>1</v>
      </c>
    </row>
    <row r="2" spans="1:30">
      <c r="G2" s="25" t="s">
        <v>115</v>
      </c>
      <c r="H2" s="25">
        <v>0.453592</v>
      </c>
    </row>
    <row r="3" spans="1:30">
      <c r="A3" s="1" t="s">
        <v>0</v>
      </c>
    </row>
    <row r="4" spans="1:30">
      <c r="A4" s="11"/>
      <c r="B4" s="10"/>
      <c r="C4" s="10"/>
      <c r="D4" s="10"/>
      <c r="E4" s="10"/>
      <c r="F4" s="37"/>
      <c r="G4" s="26" t="s">
        <v>10</v>
      </c>
      <c r="H4" s="27"/>
      <c r="I4" s="27"/>
      <c r="J4" s="27"/>
      <c r="K4" s="28"/>
      <c r="L4" s="20" t="s">
        <v>21</v>
      </c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2"/>
    </row>
    <row r="5" spans="1:30" ht="26">
      <c r="A5" s="12" t="s">
        <v>2</v>
      </c>
      <c r="B5" s="2" t="s">
        <v>3</v>
      </c>
      <c r="C5" s="2" t="s">
        <v>3</v>
      </c>
      <c r="D5" s="2" t="s">
        <v>4</v>
      </c>
      <c r="E5" s="2"/>
      <c r="F5" s="30" t="s">
        <v>5</v>
      </c>
      <c r="G5" s="29" t="s">
        <v>11</v>
      </c>
      <c r="H5" s="30" t="s">
        <v>23</v>
      </c>
      <c r="I5" s="30" t="s">
        <v>24</v>
      </c>
      <c r="J5" s="30" t="s">
        <v>12</v>
      </c>
      <c r="K5" s="30" t="s">
        <v>13</v>
      </c>
      <c r="L5" s="31" t="s">
        <v>14</v>
      </c>
      <c r="M5" s="41"/>
      <c r="O5" s="39" t="s">
        <v>23</v>
      </c>
      <c r="P5" s="39" t="s">
        <v>125</v>
      </c>
      <c r="Q5" s="30" t="s">
        <v>117</v>
      </c>
      <c r="R5" s="30" t="s">
        <v>118</v>
      </c>
      <c r="S5" s="31" t="s">
        <v>119</v>
      </c>
      <c r="T5" s="29" t="s">
        <v>120</v>
      </c>
      <c r="U5" s="41"/>
      <c r="V5" s="2" t="s">
        <v>16</v>
      </c>
      <c r="W5" s="2" t="s">
        <v>17</v>
      </c>
      <c r="X5" s="2"/>
      <c r="Y5" s="2" t="s">
        <v>18</v>
      </c>
      <c r="Z5" s="2" t="s">
        <v>19</v>
      </c>
      <c r="AA5" s="4" t="s">
        <v>20</v>
      </c>
    </row>
    <row r="6" spans="1:30" ht="26">
      <c r="A6" s="3"/>
      <c r="B6" s="1">
        <v>1300</v>
      </c>
      <c r="C6" s="1">
        <f>B6*H2</f>
        <v>589.66959999999995</v>
      </c>
      <c r="D6" s="1">
        <v>1</v>
      </c>
      <c r="F6" s="25" t="s">
        <v>6</v>
      </c>
      <c r="G6" s="32">
        <v>15.88</v>
      </c>
      <c r="H6" s="25">
        <v>15.6</v>
      </c>
      <c r="J6" s="25">
        <v>2.75</v>
      </c>
      <c r="K6" s="25">
        <v>7.4999999999999997E-2</v>
      </c>
      <c r="L6" s="33">
        <v>0.05</v>
      </c>
      <c r="M6" s="29" t="s">
        <v>15</v>
      </c>
      <c r="N6" s="29" t="s">
        <v>116</v>
      </c>
      <c r="P6" s="39"/>
      <c r="Q6" s="24">
        <f>J6*$H$2</f>
        <v>1.2473779999999999</v>
      </c>
      <c r="R6" s="24">
        <f>K6*$H$2</f>
        <v>3.4019399999999998E-2</v>
      </c>
      <c r="S6" s="24">
        <f>L6*$H$2</f>
        <v>2.2679600000000001E-2</v>
      </c>
      <c r="T6" s="24">
        <f>M7*$H$2</f>
        <v>12.246983999999999</v>
      </c>
      <c r="U6" s="24"/>
      <c r="V6" s="1">
        <v>58.9</v>
      </c>
      <c r="W6" s="1">
        <v>0.57999999999999996</v>
      </c>
      <c r="Y6" s="1">
        <v>10.199999999999999</v>
      </c>
      <c r="Z6" s="1">
        <v>0.28000000000000003</v>
      </c>
      <c r="AA6" s="6">
        <v>0.19</v>
      </c>
      <c r="AD6" s="1" t="s">
        <v>32</v>
      </c>
    </row>
    <row r="7" spans="1:30">
      <c r="A7" s="3"/>
      <c r="D7" s="1">
        <v>2</v>
      </c>
      <c r="F7" s="25" t="s">
        <v>6</v>
      </c>
      <c r="G7" s="32">
        <v>16.72</v>
      </c>
      <c r="H7" s="25">
        <v>16.600000000000001</v>
      </c>
      <c r="J7" s="25">
        <v>3.02</v>
      </c>
      <c r="K7" s="25">
        <v>8.3000000000000004E-2</v>
      </c>
      <c r="L7" s="33">
        <v>5.5E-2</v>
      </c>
      <c r="M7" s="32">
        <v>27</v>
      </c>
      <c r="N7" s="24">
        <f>G6*$H$2</f>
        <v>7.20304096</v>
      </c>
      <c r="P7" s="39"/>
      <c r="Q7" s="24">
        <f>J7*$H$2</f>
        <v>1.36984784</v>
      </c>
      <c r="R7" s="24">
        <f>K7*$H$2</f>
        <v>3.7648135999999999E-2</v>
      </c>
      <c r="S7" s="24">
        <f>L7*$H$2</f>
        <v>2.4947560000000001E-2</v>
      </c>
      <c r="T7" s="24">
        <f>M8*$H$2</f>
        <v>12.6098576</v>
      </c>
      <c r="U7" s="24"/>
      <c r="V7" s="1">
        <v>60.1</v>
      </c>
      <c r="W7" s="1">
        <v>0.6</v>
      </c>
      <c r="Y7" s="1">
        <v>10.9</v>
      </c>
      <c r="Z7" s="1">
        <v>0.3</v>
      </c>
      <c r="AA7" s="6">
        <v>0.2</v>
      </c>
      <c r="AD7" s="1" t="s">
        <v>33</v>
      </c>
    </row>
    <row r="8" spans="1:30">
      <c r="A8" s="3"/>
      <c r="D8" s="1">
        <v>3</v>
      </c>
      <c r="F8" s="25" t="s">
        <v>6</v>
      </c>
      <c r="G8" s="32">
        <v>16.3</v>
      </c>
      <c r="H8" s="25">
        <v>16.100000000000001</v>
      </c>
      <c r="J8" s="25">
        <v>2.88</v>
      </c>
      <c r="K8" s="25">
        <v>7.9000000000000001E-2</v>
      </c>
      <c r="L8" s="33">
        <v>5.1999999999999998E-2</v>
      </c>
      <c r="M8" s="32">
        <v>27.8</v>
      </c>
      <c r="N8" s="24">
        <f>G7*$H$2</f>
        <v>7.5840582399999992</v>
      </c>
      <c r="P8" s="39"/>
      <c r="Q8" s="24">
        <f>J8*$H$2</f>
        <v>1.3063449599999999</v>
      </c>
      <c r="R8" s="24">
        <f>K8*$H$2</f>
        <v>3.5833768000000002E-2</v>
      </c>
      <c r="S8" s="24">
        <f>L8*$H$2</f>
        <v>2.3586784E-2</v>
      </c>
      <c r="T8" s="24">
        <f>M9*$H$2</f>
        <v>12.4284208</v>
      </c>
      <c r="U8" s="24"/>
      <c r="V8" s="1">
        <v>59.5</v>
      </c>
      <c r="W8" s="1">
        <v>0.59</v>
      </c>
      <c r="Y8" s="1">
        <v>10.5</v>
      </c>
      <c r="Z8" s="1">
        <v>0.28999999999999998</v>
      </c>
      <c r="AA8" s="6">
        <v>0.19</v>
      </c>
      <c r="AD8" s="1" t="s">
        <v>34</v>
      </c>
    </row>
    <row r="9" spans="1:30">
      <c r="A9" s="3"/>
      <c r="D9" s="1">
        <v>4</v>
      </c>
      <c r="F9" s="25" t="s">
        <v>7</v>
      </c>
      <c r="G9" s="32">
        <v>15.38</v>
      </c>
      <c r="H9" s="25">
        <v>15</v>
      </c>
      <c r="J9" s="25">
        <v>2.6</v>
      </c>
      <c r="K9" s="25">
        <v>7.0999999999999994E-2</v>
      </c>
      <c r="L9" s="33">
        <v>4.8000000000000001E-2</v>
      </c>
      <c r="M9" s="32">
        <v>27.4</v>
      </c>
      <c r="N9" s="24">
        <f>G8*$H$2</f>
        <v>7.3935496000000001</v>
      </c>
      <c r="P9" s="39"/>
      <c r="Q9" s="24">
        <f>J9*$H$2</f>
        <v>1.1793392</v>
      </c>
      <c r="R9" s="24">
        <f>K9*$H$2</f>
        <v>3.2205031999999995E-2</v>
      </c>
      <c r="S9" s="24">
        <f>L9*$H$2</f>
        <v>2.1772415999999999E-2</v>
      </c>
      <c r="T9" s="24">
        <f>M10*$H$2</f>
        <v>11.974828799999999</v>
      </c>
      <c r="U9" s="24"/>
      <c r="V9" s="1">
        <v>58.2</v>
      </c>
      <c r="W9" s="1">
        <v>0.56999999999999995</v>
      </c>
      <c r="Y9" s="1">
        <v>9.8000000000000007</v>
      </c>
      <c r="Z9" s="1">
        <v>0.27</v>
      </c>
      <c r="AA9" s="6">
        <v>0.18</v>
      </c>
      <c r="AD9" s="1" t="s">
        <v>35</v>
      </c>
    </row>
    <row r="10" spans="1:30">
      <c r="A10" s="3"/>
      <c r="D10" s="1">
        <v>5</v>
      </c>
      <c r="F10" s="25" t="s">
        <v>7</v>
      </c>
      <c r="G10" s="32">
        <v>14.54</v>
      </c>
      <c r="H10" s="25">
        <v>14</v>
      </c>
      <c r="J10" s="25">
        <v>2.3199999999999998</v>
      </c>
      <c r="K10" s="25">
        <v>6.3E-2</v>
      </c>
      <c r="L10" s="33">
        <v>4.2999999999999997E-2</v>
      </c>
      <c r="M10" s="32">
        <v>26.4</v>
      </c>
      <c r="N10" s="24">
        <f>G9*$H$2</f>
        <v>6.9762449600000007</v>
      </c>
      <c r="P10" s="39"/>
      <c r="Q10" s="24">
        <f>J10*$H$2</f>
        <v>1.05233344</v>
      </c>
      <c r="R10" s="24">
        <f>K10*$H$2</f>
        <v>2.8576296000000001E-2</v>
      </c>
      <c r="S10" s="24">
        <f>L10*$H$2</f>
        <v>1.9504456E-2</v>
      </c>
      <c r="T10" s="24">
        <f>M11*$H$2</f>
        <v>11.566596000000001</v>
      </c>
      <c r="U10" s="24"/>
      <c r="V10" s="1">
        <v>56.9</v>
      </c>
      <c r="W10" s="1">
        <v>0.55000000000000004</v>
      </c>
      <c r="Y10" s="1">
        <v>9.1</v>
      </c>
      <c r="Z10" s="1">
        <v>0.25</v>
      </c>
      <c r="AA10" s="6">
        <v>0.17</v>
      </c>
      <c r="AD10" s="1" t="s">
        <v>36</v>
      </c>
    </row>
    <row r="11" spans="1:30">
      <c r="A11" s="3"/>
      <c r="D11" s="1">
        <v>6</v>
      </c>
      <c r="F11" s="25" t="s">
        <v>7</v>
      </c>
      <c r="G11" s="32">
        <v>13.86</v>
      </c>
      <c r="H11" s="25">
        <v>13.2</v>
      </c>
      <c r="J11" s="25">
        <v>2.1</v>
      </c>
      <c r="K11" s="25">
        <v>5.6000000000000001E-2</v>
      </c>
      <c r="L11" s="33">
        <v>3.9E-2</v>
      </c>
      <c r="M11" s="32">
        <v>25.5</v>
      </c>
      <c r="N11" s="24">
        <f>G10*$H$2</f>
        <v>6.5952276799999998</v>
      </c>
      <c r="P11" s="39"/>
      <c r="Q11" s="24">
        <f>J11*$H$2</f>
        <v>0.95254320000000003</v>
      </c>
      <c r="R11" s="24">
        <f>K11*$H$2</f>
        <v>2.5401152E-2</v>
      </c>
      <c r="S11" s="24">
        <f>L11*$H$2</f>
        <v>1.7690088E-2</v>
      </c>
      <c r="T11" s="24">
        <f>M12*$H$2</f>
        <v>11.2490816</v>
      </c>
      <c r="U11" s="24"/>
      <c r="V11" s="1">
        <v>55.9</v>
      </c>
      <c r="W11" s="1">
        <v>0.53</v>
      </c>
      <c r="Y11" s="1">
        <v>8.5</v>
      </c>
      <c r="Z11" s="1">
        <v>0.23</v>
      </c>
      <c r="AA11" s="6">
        <v>0.16</v>
      </c>
      <c r="AD11" s="1" t="s">
        <v>37</v>
      </c>
    </row>
    <row r="12" spans="1:30">
      <c r="A12" s="3"/>
      <c r="D12" s="1">
        <v>7</v>
      </c>
      <c r="F12" s="25" t="s">
        <v>8</v>
      </c>
      <c r="G12" s="32">
        <v>13.42</v>
      </c>
      <c r="H12" s="25">
        <v>12.7</v>
      </c>
      <c r="J12" s="25">
        <v>1.93</v>
      </c>
      <c r="K12" s="25">
        <v>5.0999999999999997E-2</v>
      </c>
      <c r="L12" s="33">
        <v>3.5999999999999997E-2</v>
      </c>
      <c r="M12" s="32">
        <v>24.8</v>
      </c>
      <c r="N12" s="24">
        <f>G11*$H$2</f>
        <v>6.2867851199999993</v>
      </c>
      <c r="P12" s="39"/>
      <c r="Q12" s="24">
        <f>J12*$H$2</f>
        <v>0.87543255999999992</v>
      </c>
      <c r="R12" s="24">
        <f>K12*$H$2</f>
        <v>2.3133191999999997E-2</v>
      </c>
      <c r="S12" s="24">
        <f>L12*$H$2</f>
        <v>1.6329311999999999E-2</v>
      </c>
      <c r="T12" s="24">
        <f>M13*$H$2</f>
        <v>11.0222856</v>
      </c>
      <c r="U12" s="24"/>
      <c r="V12" s="1">
        <v>55.3</v>
      </c>
      <c r="W12" s="1">
        <v>0.52</v>
      </c>
      <c r="Y12" s="1">
        <v>8</v>
      </c>
      <c r="Z12" s="1">
        <v>0.21</v>
      </c>
      <c r="AA12" s="6">
        <v>0.15</v>
      </c>
      <c r="AD12" s="1" t="s">
        <v>38</v>
      </c>
    </row>
    <row r="13" spans="1:30">
      <c r="A13" s="3"/>
      <c r="D13" s="1">
        <v>8</v>
      </c>
      <c r="F13" s="25" t="s">
        <v>8</v>
      </c>
      <c r="G13" s="32">
        <v>10.99</v>
      </c>
      <c r="H13" s="25">
        <v>9.5</v>
      </c>
      <c r="J13" s="25">
        <v>1.52</v>
      </c>
      <c r="K13" s="25">
        <v>3.7999999999999999E-2</v>
      </c>
      <c r="L13" s="33">
        <v>2.9000000000000001E-2</v>
      </c>
      <c r="M13" s="32">
        <v>24.3</v>
      </c>
      <c r="N13" s="24">
        <f>G12*$H$2</f>
        <v>6.0872046399999995</v>
      </c>
      <c r="P13" s="39"/>
      <c r="Q13" s="24">
        <f>J13*$H$2</f>
        <v>0.68945984000000005</v>
      </c>
      <c r="R13" s="24">
        <f>K13*$H$2</f>
        <v>1.7236496E-2</v>
      </c>
      <c r="S13" s="24">
        <f>L13*$H$2</f>
        <v>1.3154168000000001E-2</v>
      </c>
      <c r="T13" s="24">
        <f>M14*$H$2</f>
        <v>10.160460799999999</v>
      </c>
      <c r="U13" s="24"/>
      <c r="V13" s="1">
        <v>49</v>
      </c>
      <c r="W13" s="1">
        <v>0.42</v>
      </c>
      <c r="Y13" s="1">
        <v>6.8</v>
      </c>
      <c r="Z13" s="1">
        <v>0.17</v>
      </c>
      <c r="AA13" s="6">
        <v>0.13</v>
      </c>
      <c r="AD13" s="1" t="s">
        <v>39</v>
      </c>
    </row>
    <row r="14" spans="1:30">
      <c r="A14" s="3"/>
      <c r="D14" s="1">
        <v>9</v>
      </c>
      <c r="F14" s="25" t="s">
        <v>8</v>
      </c>
      <c r="G14" s="32">
        <v>11.26</v>
      </c>
      <c r="H14" s="25">
        <v>9.9</v>
      </c>
      <c r="J14" s="25">
        <v>1.58</v>
      </c>
      <c r="K14" s="25">
        <v>3.7999999999999999E-2</v>
      </c>
      <c r="L14" s="33">
        <v>2.9000000000000001E-2</v>
      </c>
      <c r="M14" s="32">
        <v>22.4</v>
      </c>
      <c r="N14" s="24">
        <f>G13*$H$2</f>
        <v>4.98497608</v>
      </c>
      <c r="P14" s="39"/>
      <c r="Q14" s="24">
        <f>J14*$H$2</f>
        <v>0.71667535999999998</v>
      </c>
      <c r="R14" s="24">
        <f>K14*$H$2</f>
        <v>1.7236496E-2</v>
      </c>
      <c r="S14" s="24">
        <f>L14*$H$2</f>
        <v>1.3154168000000001E-2</v>
      </c>
      <c r="T14" s="24">
        <f>M15*$H$2</f>
        <v>10.205819999999999</v>
      </c>
      <c r="U14" s="24"/>
      <c r="V14" s="1">
        <v>50</v>
      </c>
      <c r="W14" s="1">
        <v>0.44</v>
      </c>
      <c r="Y14" s="1">
        <v>7</v>
      </c>
      <c r="Z14" s="1">
        <v>0.17</v>
      </c>
      <c r="AA14" s="6">
        <v>0.13</v>
      </c>
    </row>
    <row r="15" spans="1:30">
      <c r="A15" s="3"/>
      <c r="D15" s="1">
        <v>10</v>
      </c>
      <c r="F15" s="25" t="s">
        <v>9</v>
      </c>
      <c r="G15" s="32">
        <v>11.8</v>
      </c>
      <c r="H15" s="25">
        <v>10.7</v>
      </c>
      <c r="J15" s="25">
        <v>1.68</v>
      </c>
      <c r="K15" s="25">
        <v>6.4000000000000001E-2</v>
      </c>
      <c r="L15" s="33">
        <v>0.04</v>
      </c>
      <c r="M15" s="32">
        <v>22.5</v>
      </c>
      <c r="N15" s="24">
        <f>G14*$H$2</f>
        <v>5.10744592</v>
      </c>
      <c r="P15" s="39"/>
      <c r="Q15" s="24">
        <f>J15*$H$2</f>
        <v>0.76203455999999992</v>
      </c>
      <c r="R15" s="24">
        <f>K15*$H$2</f>
        <v>2.9029888E-2</v>
      </c>
      <c r="S15" s="24">
        <f>L15*$H$2</f>
        <v>1.8143679999999999E-2</v>
      </c>
      <c r="T15" s="24">
        <f>M16*$H$2</f>
        <v>10.296538399999999</v>
      </c>
      <c r="U15" s="24"/>
      <c r="V15" s="1">
        <v>52</v>
      </c>
      <c r="W15" s="1">
        <v>0.47</v>
      </c>
      <c r="Y15" s="1">
        <v>7.4</v>
      </c>
      <c r="Z15" s="1">
        <v>0.28000000000000003</v>
      </c>
      <c r="AA15" s="6">
        <v>0.17</v>
      </c>
    </row>
    <row r="16" spans="1:30">
      <c r="A16" s="3"/>
      <c r="D16" s="1">
        <v>11</v>
      </c>
      <c r="F16" s="25" t="s">
        <v>9</v>
      </c>
      <c r="G16" s="32">
        <v>12.59</v>
      </c>
      <c r="H16" s="25">
        <v>11.8</v>
      </c>
      <c r="J16" s="25">
        <v>1.84</v>
      </c>
      <c r="K16" s="25">
        <v>6.4000000000000001E-2</v>
      </c>
      <c r="L16" s="33">
        <v>0.04</v>
      </c>
      <c r="M16" s="32">
        <v>22.7</v>
      </c>
      <c r="N16" s="24">
        <f>G15*$H$2</f>
        <v>5.3523855999999999</v>
      </c>
      <c r="P16" s="39"/>
      <c r="Q16" s="24">
        <f>J16*$H$2</f>
        <v>0.83460928000000001</v>
      </c>
      <c r="R16" s="24">
        <f>K16*$H$2</f>
        <v>2.9029888E-2</v>
      </c>
      <c r="S16" s="24">
        <f>L16*$H$2</f>
        <v>1.8143679999999999E-2</v>
      </c>
      <c r="T16" s="24">
        <f>M17*$H$2</f>
        <v>10.477975200000001</v>
      </c>
      <c r="U16" s="24"/>
      <c r="V16" s="1">
        <v>54.5</v>
      </c>
      <c r="W16" s="1">
        <v>0.51</v>
      </c>
      <c r="Y16" s="1">
        <v>8</v>
      </c>
      <c r="Z16" s="1">
        <v>0.27</v>
      </c>
      <c r="AA16" s="6">
        <v>0.17</v>
      </c>
    </row>
    <row r="17" spans="1:27">
      <c r="A17" s="13"/>
      <c r="B17" s="8"/>
      <c r="C17" s="8"/>
      <c r="D17" s="8">
        <v>12</v>
      </c>
      <c r="E17" s="8"/>
      <c r="F17" s="35" t="s">
        <v>9</v>
      </c>
      <c r="G17" s="34">
        <v>13.84</v>
      </c>
      <c r="H17" s="35">
        <v>13.5</v>
      </c>
      <c r="I17" s="35"/>
      <c r="J17" s="35">
        <v>2.11</v>
      </c>
      <c r="K17" s="35">
        <v>6.4000000000000001E-2</v>
      </c>
      <c r="L17" s="36">
        <v>0.04</v>
      </c>
      <c r="M17" s="32">
        <v>23.1</v>
      </c>
      <c r="N17" s="24">
        <f>G16*$H$2</f>
        <v>5.7107232799999998</v>
      </c>
      <c r="P17" s="39"/>
      <c r="Q17" s="24">
        <f>J17*$H$2</f>
        <v>0.95707911999999995</v>
      </c>
      <c r="R17" s="24">
        <f>K17*$H$2</f>
        <v>2.9029888E-2</v>
      </c>
      <c r="S17" s="24">
        <f>L17*$H$2</f>
        <v>1.8143679999999999E-2</v>
      </c>
      <c r="T17" s="24">
        <f>M18*$H$2</f>
        <v>10.7954896</v>
      </c>
      <c r="U17" s="24"/>
      <c r="V17" s="8">
        <v>58.1</v>
      </c>
      <c r="W17" s="8">
        <v>0.56999999999999995</v>
      </c>
      <c r="X17" s="8"/>
      <c r="Y17" s="8">
        <v>8.8000000000000007</v>
      </c>
      <c r="Z17" s="8">
        <v>0.27</v>
      </c>
      <c r="AA17" s="9">
        <v>0.17</v>
      </c>
    </row>
    <row r="18" spans="1:27">
      <c r="M18" s="34">
        <v>23.8</v>
      </c>
      <c r="N18" s="24">
        <f>G17*$H$2</f>
        <v>6.2777132799999995</v>
      </c>
      <c r="O18" s="40"/>
      <c r="P18" s="39"/>
      <c r="Q18" s="24">
        <f>J18*$H$2</f>
        <v>0</v>
      </c>
      <c r="R18" s="24">
        <f>K18*$H$2</f>
        <v>0</v>
      </c>
      <c r="S18" s="24">
        <f>L18*$H$2</f>
        <v>0</v>
      </c>
    </row>
    <row r="19" spans="1:27">
      <c r="A19" s="11"/>
      <c r="B19" s="10"/>
      <c r="C19" s="10"/>
      <c r="D19" s="10"/>
      <c r="E19" s="10"/>
      <c r="F19" s="37"/>
      <c r="G19" s="26" t="s">
        <v>10</v>
      </c>
      <c r="H19" s="27"/>
      <c r="I19" s="27"/>
      <c r="J19" s="27"/>
      <c r="K19" s="27"/>
      <c r="L19" s="28"/>
      <c r="M19" s="43"/>
      <c r="N19" s="24" t="e">
        <f>G19*$H$2</f>
        <v>#VALUE!</v>
      </c>
      <c r="O19" s="40"/>
      <c r="P19" s="39"/>
      <c r="Q19" s="24">
        <f>J19*$H$2</f>
        <v>0</v>
      </c>
      <c r="R19" s="24">
        <f>K19*$H$2</f>
        <v>0</v>
      </c>
      <c r="S19" s="24">
        <f>L19*$H$2</f>
        <v>0</v>
      </c>
      <c r="T19" s="20" t="s">
        <v>21</v>
      </c>
      <c r="U19" s="21"/>
      <c r="V19" s="21"/>
      <c r="W19" s="21"/>
      <c r="X19" s="21"/>
      <c r="Y19" s="21"/>
      <c r="Z19" s="22"/>
    </row>
    <row r="20" spans="1:27" ht="26">
      <c r="A20" s="12" t="s">
        <v>22</v>
      </c>
      <c r="B20" s="2" t="s">
        <v>3</v>
      </c>
      <c r="C20" s="2"/>
      <c r="D20" s="2" t="s">
        <v>4</v>
      </c>
      <c r="E20" s="2"/>
      <c r="F20" s="30" t="s">
        <v>5</v>
      </c>
      <c r="G20" s="29" t="s">
        <v>11</v>
      </c>
      <c r="H20" s="30" t="s">
        <v>23</v>
      </c>
      <c r="I20" s="30" t="s">
        <v>24</v>
      </c>
      <c r="J20" s="30" t="s">
        <v>12</v>
      </c>
      <c r="K20" s="30" t="s">
        <v>13</v>
      </c>
      <c r="L20" s="31" t="s">
        <v>14</v>
      </c>
      <c r="M20" s="41"/>
      <c r="N20" s="29" t="s">
        <v>116</v>
      </c>
      <c r="O20" s="39" t="s">
        <v>23</v>
      </c>
      <c r="P20" s="39" t="s">
        <v>125</v>
      </c>
      <c r="Q20" s="30" t="s">
        <v>117</v>
      </c>
      <c r="R20" s="30" t="s">
        <v>118</v>
      </c>
      <c r="S20" s="31" t="s">
        <v>119</v>
      </c>
      <c r="T20" s="29" t="s">
        <v>120</v>
      </c>
      <c r="U20" s="3" t="s">
        <v>15</v>
      </c>
      <c r="V20" s="2" t="s">
        <v>16</v>
      </c>
      <c r="W20" s="2" t="s">
        <v>17</v>
      </c>
      <c r="X20" s="2" t="s">
        <v>24</v>
      </c>
      <c r="Y20" s="2" t="s">
        <v>18</v>
      </c>
      <c r="Z20" s="2" t="s">
        <v>19</v>
      </c>
      <c r="AA20" s="4" t="s">
        <v>20</v>
      </c>
    </row>
    <row r="21" spans="1:27">
      <c r="A21" s="3"/>
      <c r="B21" s="1">
        <v>1020</v>
      </c>
      <c r="C21" s="1">
        <f>B21*H2</f>
        <v>462.66383999999999</v>
      </c>
      <c r="D21" s="1">
        <v>1</v>
      </c>
      <c r="F21" s="25" t="s">
        <v>6</v>
      </c>
      <c r="G21" s="32">
        <v>14.94</v>
      </c>
      <c r="H21" s="25">
        <v>14.8</v>
      </c>
      <c r="I21" s="25">
        <v>0.3</v>
      </c>
      <c r="J21" s="25">
        <v>2.25</v>
      </c>
      <c r="K21" s="25">
        <v>6.0999999999999999E-2</v>
      </c>
      <c r="L21" s="33">
        <v>0.04</v>
      </c>
      <c r="M21" s="42"/>
      <c r="N21" s="24">
        <f>G21*$H$2</f>
        <v>6.77666448</v>
      </c>
      <c r="O21" s="40"/>
      <c r="P21" s="40">
        <f>I21*$H$2</f>
        <v>0.13607759999999999</v>
      </c>
      <c r="Q21" s="24">
        <f>I21*$H$2</f>
        <v>0.13607759999999999</v>
      </c>
      <c r="R21" s="24">
        <f>J21*$H$2</f>
        <v>1.0205820000000001</v>
      </c>
      <c r="S21" s="24">
        <f>K21*$H$2</f>
        <v>2.7669111999999999E-2</v>
      </c>
      <c r="T21" s="24">
        <f>L21*$H$2</f>
        <v>1.8143679999999999E-2</v>
      </c>
      <c r="U21" s="5">
        <v>23.3</v>
      </c>
      <c r="V21" s="1">
        <v>64</v>
      </c>
      <c r="W21" s="1">
        <v>0.66</v>
      </c>
      <c r="X21" s="1">
        <v>0.39</v>
      </c>
      <c r="Y21" s="1">
        <v>9.6999999999999993</v>
      </c>
      <c r="Z21" s="1">
        <v>0.26</v>
      </c>
      <c r="AA21" s="6">
        <v>0.17</v>
      </c>
    </row>
    <row r="22" spans="1:27">
      <c r="A22" s="3"/>
      <c r="D22" s="1">
        <v>2</v>
      </c>
      <c r="F22" s="25" t="s">
        <v>6</v>
      </c>
      <c r="G22" s="32">
        <v>15.62</v>
      </c>
      <c r="H22" s="25">
        <v>15.6</v>
      </c>
      <c r="I22" s="25">
        <v>0.3</v>
      </c>
      <c r="J22" s="25">
        <v>2.46</v>
      </c>
      <c r="K22" s="25">
        <v>6.7000000000000004E-2</v>
      </c>
      <c r="L22" s="33">
        <v>4.2999999999999997E-2</v>
      </c>
      <c r="M22" s="42"/>
      <c r="N22" s="24">
        <f>G22*$H$2</f>
        <v>7.0851070399999996</v>
      </c>
      <c r="O22" s="40"/>
      <c r="P22" s="40">
        <f t="shared" ref="P22:P32" si="0">I22*$H$2</f>
        <v>0.13607759999999999</v>
      </c>
      <c r="Q22" s="24">
        <f>I22*$H$2</f>
        <v>0.13607759999999999</v>
      </c>
      <c r="R22" s="24">
        <f>J22*$H$2</f>
        <v>1.1158363199999999</v>
      </c>
      <c r="S22" s="24">
        <f>K22*$H$2</f>
        <v>3.0390664000000001E-2</v>
      </c>
      <c r="T22" s="24">
        <f>L22*$H$2</f>
        <v>1.9504456E-2</v>
      </c>
      <c r="U22" s="5">
        <v>24.1</v>
      </c>
      <c r="V22" s="1">
        <v>64.900000000000006</v>
      </c>
      <c r="W22" s="1">
        <v>0.67</v>
      </c>
      <c r="X22" s="1">
        <v>0.39</v>
      </c>
      <c r="Y22" s="1">
        <v>10.199999999999999</v>
      </c>
      <c r="Z22" s="1">
        <v>0.28000000000000003</v>
      </c>
      <c r="AA22" s="6">
        <v>0.18</v>
      </c>
    </row>
    <row r="23" spans="1:27">
      <c r="A23" s="3"/>
      <c r="D23" s="1">
        <v>3</v>
      </c>
      <c r="F23" s="25" t="s">
        <v>6</v>
      </c>
      <c r="G23" s="32">
        <v>15.39</v>
      </c>
      <c r="H23" s="25">
        <v>15.3</v>
      </c>
      <c r="I23" s="25">
        <v>0.3</v>
      </c>
      <c r="J23" s="25">
        <v>2.35</v>
      </c>
      <c r="K23" s="25">
        <v>6.4000000000000001E-2</v>
      </c>
      <c r="L23" s="33">
        <v>4.1000000000000002E-2</v>
      </c>
      <c r="M23" s="42"/>
      <c r="N23" s="24">
        <f>G23*$H$2</f>
        <v>6.9807808800000002</v>
      </c>
      <c r="O23" s="40"/>
      <c r="P23" s="40">
        <f t="shared" si="0"/>
        <v>0.13607759999999999</v>
      </c>
      <c r="Q23" s="24">
        <f>I23*$H$2</f>
        <v>0.13607759999999999</v>
      </c>
      <c r="R23" s="24">
        <f>J23*$H$2</f>
        <v>1.0659411999999999</v>
      </c>
      <c r="S23" s="24">
        <f>K23*$H$2</f>
        <v>2.9029888E-2</v>
      </c>
      <c r="T23" s="24">
        <f>L23*$H$2</f>
        <v>1.8597272000000001E-2</v>
      </c>
      <c r="U23" s="5">
        <v>23.8</v>
      </c>
      <c r="V23" s="1">
        <v>64.599999999999994</v>
      </c>
      <c r="W23" s="1">
        <v>0.66</v>
      </c>
      <c r="X23" s="1">
        <v>0.39</v>
      </c>
      <c r="Y23" s="1">
        <v>9.9</v>
      </c>
      <c r="Z23" s="1">
        <v>0.27</v>
      </c>
      <c r="AA23" s="6">
        <v>0.17</v>
      </c>
    </row>
    <row r="24" spans="1:27">
      <c r="A24" s="3"/>
      <c r="D24" s="1">
        <v>4</v>
      </c>
      <c r="F24" s="25" t="s">
        <v>7</v>
      </c>
      <c r="G24" s="32">
        <v>14.72</v>
      </c>
      <c r="H24" s="25">
        <v>14.5</v>
      </c>
      <c r="I24" s="25">
        <v>0.3</v>
      </c>
      <c r="J24" s="25">
        <v>2.16</v>
      </c>
      <c r="K24" s="25">
        <v>5.8000000000000003E-2</v>
      </c>
      <c r="L24" s="33">
        <v>3.7999999999999999E-2</v>
      </c>
      <c r="M24" s="42"/>
      <c r="N24" s="24">
        <f>G24*$H$2</f>
        <v>6.6768742400000001</v>
      </c>
      <c r="O24" s="40"/>
      <c r="P24" s="40">
        <f t="shared" si="0"/>
        <v>0.13607759999999999</v>
      </c>
      <c r="Q24" s="24">
        <f>I24*$H$2</f>
        <v>0.13607759999999999</v>
      </c>
      <c r="R24" s="24">
        <f>J24*$H$2</f>
        <v>0.97975872000000008</v>
      </c>
      <c r="S24" s="24">
        <f>K24*$H$2</f>
        <v>2.6308336000000002E-2</v>
      </c>
      <c r="T24" s="24">
        <f>L24*$H$2</f>
        <v>1.7236496E-2</v>
      </c>
      <c r="U24" s="5">
        <v>23.2</v>
      </c>
      <c r="V24" s="1">
        <v>63.5</v>
      </c>
      <c r="W24" s="1">
        <v>0.65</v>
      </c>
      <c r="X24" s="1">
        <v>0.39</v>
      </c>
      <c r="Y24" s="1">
        <v>9.3000000000000007</v>
      </c>
      <c r="Z24" s="1">
        <v>0.25</v>
      </c>
      <c r="AA24" s="6">
        <v>0.16</v>
      </c>
    </row>
    <row r="25" spans="1:27">
      <c r="A25" s="3"/>
      <c r="D25" s="1">
        <v>5</v>
      </c>
      <c r="F25" s="25" t="s">
        <v>7</v>
      </c>
      <c r="G25" s="32">
        <v>14.14</v>
      </c>
      <c r="H25" s="25">
        <v>13.8</v>
      </c>
      <c r="I25" s="25">
        <v>0.3</v>
      </c>
      <c r="J25" s="25">
        <v>1.96</v>
      </c>
      <c r="K25" s="25">
        <v>5.1999999999999998E-2</v>
      </c>
      <c r="L25" s="33">
        <v>3.5000000000000003E-2</v>
      </c>
      <c r="M25" s="42"/>
      <c r="N25" s="24">
        <f>G25*$H$2</f>
        <v>6.4137908800000005</v>
      </c>
      <c r="O25" s="40"/>
      <c r="P25" s="40">
        <f t="shared" si="0"/>
        <v>0.13607759999999999</v>
      </c>
      <c r="Q25" s="24">
        <f>I25*$H$2</f>
        <v>0.13607759999999999</v>
      </c>
      <c r="R25" s="24">
        <f>J25*$H$2</f>
        <v>0.88904032</v>
      </c>
      <c r="S25" s="24">
        <f>K25*$H$2</f>
        <v>2.3586784E-2</v>
      </c>
      <c r="T25" s="24">
        <f>L25*$H$2</f>
        <v>1.5875720000000003E-2</v>
      </c>
      <c r="U25" s="5">
        <v>22.6</v>
      </c>
      <c r="V25" s="1">
        <v>62.6</v>
      </c>
      <c r="W25" s="1">
        <v>0.63</v>
      </c>
      <c r="X25" s="1">
        <v>0.39</v>
      </c>
      <c r="Y25" s="1">
        <v>8.6999999999999993</v>
      </c>
      <c r="Z25" s="1">
        <v>0.23</v>
      </c>
      <c r="AA25" s="6">
        <v>0.15</v>
      </c>
    </row>
    <row r="26" spans="1:27">
      <c r="A26" s="3"/>
      <c r="D26" s="1">
        <v>6</v>
      </c>
      <c r="F26" s="25" t="s">
        <v>7</v>
      </c>
      <c r="G26" s="32">
        <v>13.71</v>
      </c>
      <c r="H26" s="25">
        <v>13.3</v>
      </c>
      <c r="I26" s="25">
        <v>0.3</v>
      </c>
      <c r="J26" s="25">
        <v>1.79</v>
      </c>
      <c r="K26" s="25">
        <v>4.7E-2</v>
      </c>
      <c r="L26" s="33">
        <v>3.2000000000000001E-2</v>
      </c>
      <c r="M26" s="42"/>
      <c r="N26" s="24">
        <f>G26*$H$2</f>
        <v>6.2187463200000002</v>
      </c>
      <c r="O26" s="40"/>
      <c r="P26" s="40">
        <f t="shared" si="0"/>
        <v>0.13607759999999999</v>
      </c>
      <c r="Q26" s="24">
        <f>I26*$H$2</f>
        <v>0.13607759999999999</v>
      </c>
      <c r="R26" s="24">
        <f>J26*$H$2</f>
        <v>0.81192967999999999</v>
      </c>
      <c r="S26" s="24">
        <f>K26*$H$2</f>
        <v>2.1318824E-2</v>
      </c>
      <c r="T26" s="24">
        <f>L26*$H$2</f>
        <v>1.4514944E-2</v>
      </c>
      <c r="U26" s="5">
        <v>22.1</v>
      </c>
      <c r="V26" s="1">
        <v>62</v>
      </c>
      <c r="W26" s="1">
        <v>0.63</v>
      </c>
      <c r="X26" s="1">
        <v>0.39</v>
      </c>
      <c r="Y26" s="1">
        <v>8.1</v>
      </c>
      <c r="Z26" s="1">
        <v>0.21</v>
      </c>
      <c r="AA26" s="6">
        <v>0.14000000000000001</v>
      </c>
    </row>
    <row r="27" spans="1:27">
      <c r="A27" s="3"/>
      <c r="D27" s="1">
        <v>7</v>
      </c>
      <c r="F27" s="25" t="s">
        <v>8</v>
      </c>
      <c r="G27" s="32">
        <v>13.38</v>
      </c>
      <c r="H27" s="25">
        <v>12.9</v>
      </c>
      <c r="I27" s="25">
        <v>0.3</v>
      </c>
      <c r="J27" s="25">
        <v>1.67</v>
      </c>
      <c r="K27" s="25">
        <v>4.2999999999999997E-2</v>
      </c>
      <c r="L27" s="33">
        <v>0.03</v>
      </c>
      <c r="M27" s="42"/>
      <c r="N27" s="24">
        <f>G27*$H$2</f>
        <v>6.0690609600000007</v>
      </c>
      <c r="O27" s="40"/>
      <c r="P27" s="40">
        <f t="shared" si="0"/>
        <v>0.13607759999999999</v>
      </c>
      <c r="Q27" s="24">
        <f>I27*$H$2</f>
        <v>0.13607759999999999</v>
      </c>
      <c r="R27" s="24">
        <f>J27*$H$2</f>
        <v>0.75749864</v>
      </c>
      <c r="S27" s="24">
        <f>K27*$H$2</f>
        <v>1.9504456E-2</v>
      </c>
      <c r="T27" s="24">
        <f>L27*$H$2</f>
        <v>1.360776E-2</v>
      </c>
      <c r="U27" s="5">
        <v>21.8</v>
      </c>
      <c r="V27" s="1">
        <v>61.4</v>
      </c>
      <c r="W27" s="1">
        <v>0.62</v>
      </c>
      <c r="X27" s="1">
        <v>0.39</v>
      </c>
      <c r="Y27" s="1">
        <v>7.7</v>
      </c>
      <c r="Z27" s="1">
        <v>0.2</v>
      </c>
      <c r="AA27" s="6">
        <v>0.14000000000000001</v>
      </c>
    </row>
    <row r="28" spans="1:27">
      <c r="A28" s="3"/>
      <c r="D28" s="1">
        <v>8</v>
      </c>
      <c r="F28" s="25" t="s">
        <v>8</v>
      </c>
      <c r="G28" s="32">
        <v>9.85</v>
      </c>
      <c r="H28" s="25">
        <v>8.1</v>
      </c>
      <c r="I28" s="25">
        <v>0.3</v>
      </c>
      <c r="J28" s="25">
        <v>1.38</v>
      </c>
      <c r="K28" s="25">
        <v>3.4000000000000002E-2</v>
      </c>
      <c r="L28" s="33">
        <v>2.5000000000000001E-2</v>
      </c>
      <c r="M28" s="42"/>
      <c r="N28" s="24">
        <f>G28*$H$2</f>
        <v>4.4678811999999999</v>
      </c>
      <c r="O28" s="40"/>
      <c r="P28" s="40">
        <f t="shared" si="0"/>
        <v>0.13607759999999999</v>
      </c>
      <c r="Q28" s="24">
        <f>I28*$H$2</f>
        <v>0.13607759999999999</v>
      </c>
      <c r="R28" s="24">
        <f>J28*$H$2</f>
        <v>0.6259569599999999</v>
      </c>
      <c r="S28" s="24">
        <f>K28*$H$2</f>
        <v>1.5422128E-2</v>
      </c>
      <c r="T28" s="24">
        <f>L28*$H$2</f>
        <v>1.1339800000000001E-2</v>
      </c>
      <c r="U28" s="5">
        <v>19.399999999999999</v>
      </c>
      <c r="V28" s="1">
        <v>50.8</v>
      </c>
      <c r="W28" s="1">
        <v>0.45</v>
      </c>
      <c r="X28" s="1">
        <v>0.39</v>
      </c>
      <c r="Y28" s="1">
        <v>7.1</v>
      </c>
      <c r="Z28" s="1">
        <v>0.17</v>
      </c>
      <c r="AA28" s="6">
        <v>0.13</v>
      </c>
    </row>
    <row r="29" spans="1:27">
      <c r="A29" s="3"/>
      <c r="D29" s="1">
        <v>9</v>
      </c>
      <c r="F29" s="25" t="s">
        <v>8</v>
      </c>
      <c r="G29" s="32">
        <v>10.11</v>
      </c>
      <c r="H29" s="25">
        <v>8.5</v>
      </c>
      <c r="I29" s="25">
        <v>0.3</v>
      </c>
      <c r="J29" s="25">
        <v>1.43</v>
      </c>
      <c r="K29" s="25">
        <v>3.4000000000000002E-2</v>
      </c>
      <c r="L29" s="33">
        <v>2.5000000000000001E-2</v>
      </c>
      <c r="M29" s="42"/>
      <c r="N29" s="24">
        <f>G29*$H$2</f>
        <v>4.5858151199999995</v>
      </c>
      <c r="O29" s="40"/>
      <c r="P29" s="40">
        <f t="shared" si="0"/>
        <v>0.13607759999999999</v>
      </c>
      <c r="Q29" s="24">
        <f>I29*$H$2</f>
        <v>0.13607759999999999</v>
      </c>
      <c r="R29" s="24">
        <f>J29*$H$2</f>
        <v>0.64863655999999992</v>
      </c>
      <c r="S29" s="24">
        <f>K29*$H$2</f>
        <v>1.5422128E-2</v>
      </c>
      <c r="T29" s="24">
        <f>L29*$H$2</f>
        <v>1.1339800000000001E-2</v>
      </c>
      <c r="U29" s="5">
        <v>19.5</v>
      </c>
      <c r="V29" s="1">
        <v>51.7</v>
      </c>
      <c r="W29" s="1">
        <v>0.47</v>
      </c>
      <c r="X29" s="1">
        <v>0.39</v>
      </c>
      <c r="Y29" s="1">
        <v>7.3</v>
      </c>
      <c r="Z29" s="1">
        <v>0.17</v>
      </c>
      <c r="AA29" s="6">
        <v>0.13</v>
      </c>
    </row>
    <row r="30" spans="1:27">
      <c r="A30" s="3"/>
      <c r="D30" s="1">
        <v>10</v>
      </c>
      <c r="F30" s="25" t="s">
        <v>9</v>
      </c>
      <c r="G30" s="32">
        <v>10.58</v>
      </c>
      <c r="H30" s="25">
        <v>9.1999999999999993</v>
      </c>
      <c r="I30" s="25">
        <v>0.3</v>
      </c>
      <c r="J30" s="25">
        <v>1.52</v>
      </c>
      <c r="K30" s="25">
        <v>5.5E-2</v>
      </c>
      <c r="L30" s="33">
        <v>3.3000000000000002E-2</v>
      </c>
      <c r="M30" s="42"/>
      <c r="N30" s="24">
        <f>G30*$H$2</f>
        <v>4.7990033600000004</v>
      </c>
      <c r="O30" s="40"/>
      <c r="P30" s="40">
        <f t="shared" si="0"/>
        <v>0.13607759999999999</v>
      </c>
      <c r="Q30" s="24">
        <f>I30*$H$2</f>
        <v>0.13607759999999999</v>
      </c>
      <c r="R30" s="24">
        <f>J30*$H$2</f>
        <v>0.68945984000000005</v>
      </c>
      <c r="S30" s="24">
        <f>K30*$H$2</f>
        <v>2.4947560000000001E-2</v>
      </c>
      <c r="T30" s="24">
        <f>L30*$H$2</f>
        <v>1.4968536000000001E-2</v>
      </c>
      <c r="U30" s="5">
        <v>19.8</v>
      </c>
      <c r="V30" s="1">
        <v>53.4</v>
      </c>
      <c r="W30" s="1">
        <v>0.49</v>
      </c>
      <c r="X30" s="1">
        <v>0.39</v>
      </c>
      <c r="Y30" s="1">
        <v>7.7</v>
      </c>
      <c r="Z30" s="1">
        <v>0.28000000000000003</v>
      </c>
      <c r="AA30" s="6">
        <v>0.17</v>
      </c>
    </row>
    <row r="31" spans="1:27">
      <c r="A31" s="3"/>
      <c r="D31" s="1">
        <v>11</v>
      </c>
      <c r="F31" s="25" t="s">
        <v>9</v>
      </c>
      <c r="G31" s="32">
        <v>11.28</v>
      </c>
      <c r="H31" s="25">
        <v>10.199999999999999</v>
      </c>
      <c r="I31" s="25">
        <v>0.3</v>
      </c>
      <c r="J31" s="25">
        <v>1.66</v>
      </c>
      <c r="K31" s="25">
        <v>5.5E-2</v>
      </c>
      <c r="L31" s="33">
        <v>3.3000000000000002E-2</v>
      </c>
      <c r="M31" s="42"/>
      <c r="N31" s="24">
        <f>G31*$H$2</f>
        <v>5.1165177599999998</v>
      </c>
      <c r="O31" s="40"/>
      <c r="P31" s="40">
        <f t="shared" si="0"/>
        <v>0.13607759999999999</v>
      </c>
      <c r="Q31" s="24">
        <f>I31*$H$2</f>
        <v>0.13607759999999999</v>
      </c>
      <c r="R31" s="24">
        <f>J31*$H$2</f>
        <v>0.75296271999999997</v>
      </c>
      <c r="S31" s="24">
        <f>K31*$H$2</f>
        <v>2.4947560000000001E-2</v>
      </c>
      <c r="T31" s="24">
        <f>L31*$H$2</f>
        <v>1.4968536000000001E-2</v>
      </c>
      <c r="U31" s="5">
        <v>20.2</v>
      </c>
      <c r="V31" s="1">
        <v>55.8</v>
      </c>
      <c r="W31" s="1">
        <v>0.53</v>
      </c>
      <c r="X31" s="1">
        <v>0.39</v>
      </c>
      <c r="Y31" s="1">
        <v>8.1999999999999993</v>
      </c>
      <c r="Z31" s="1">
        <v>0.27</v>
      </c>
      <c r="AA31" s="6">
        <v>0.16</v>
      </c>
    </row>
    <row r="32" spans="1:27">
      <c r="A32" s="13"/>
      <c r="B32" s="8"/>
      <c r="C32" s="8"/>
      <c r="D32" s="8">
        <v>12</v>
      </c>
      <c r="E32" s="8"/>
      <c r="F32" s="35" t="s">
        <v>9</v>
      </c>
      <c r="G32" s="34">
        <v>12.27</v>
      </c>
      <c r="H32" s="35">
        <v>11.6</v>
      </c>
      <c r="I32" s="35">
        <v>0.3</v>
      </c>
      <c r="J32" s="35">
        <v>1.88</v>
      </c>
      <c r="K32" s="35">
        <v>5.5E-2</v>
      </c>
      <c r="L32" s="36">
        <v>3.3000000000000002E-2</v>
      </c>
      <c r="M32" s="42"/>
      <c r="N32" s="24">
        <f>G32*$H$2</f>
        <v>5.5655738399999999</v>
      </c>
      <c r="O32" s="40"/>
      <c r="P32" s="40">
        <f t="shared" si="0"/>
        <v>0.13607759999999999</v>
      </c>
      <c r="Q32" s="24">
        <f>I32*$H$2</f>
        <v>0.13607759999999999</v>
      </c>
      <c r="R32" s="24">
        <f>J32*$H$2</f>
        <v>0.85275295999999989</v>
      </c>
      <c r="S32" s="24">
        <f>K32*$H$2</f>
        <v>2.4947560000000001E-2</v>
      </c>
      <c r="T32" s="24">
        <f>L32*$H$2</f>
        <v>1.4968536000000001E-2</v>
      </c>
      <c r="U32" s="7">
        <v>20.9</v>
      </c>
      <c r="V32" s="8">
        <v>58.8</v>
      </c>
      <c r="W32" s="8">
        <v>0.57999999999999996</v>
      </c>
      <c r="X32" s="8">
        <v>0.39</v>
      </c>
      <c r="Y32" s="8">
        <v>9</v>
      </c>
      <c r="Z32" s="8">
        <v>0.26</v>
      </c>
      <c r="AA32" s="9">
        <v>0.16</v>
      </c>
    </row>
    <row r="33" spans="1:27">
      <c r="N33" s="24">
        <f>G33*$H$2</f>
        <v>0</v>
      </c>
      <c r="O33" s="40"/>
      <c r="P33" s="40"/>
      <c r="Q33" s="24">
        <f>I33*$H$2</f>
        <v>0</v>
      </c>
      <c r="R33" s="24">
        <f>J33*$H$2</f>
        <v>0</v>
      </c>
      <c r="S33" s="24">
        <f>K33*$H$2</f>
        <v>0</v>
      </c>
      <c r="T33" s="24">
        <f>L33*$H$2</f>
        <v>0</v>
      </c>
    </row>
    <row r="34" spans="1:27">
      <c r="A34" s="11"/>
      <c r="B34" s="10"/>
      <c r="C34" s="10"/>
      <c r="D34" s="10"/>
      <c r="E34" s="10"/>
      <c r="F34" s="37"/>
      <c r="G34" s="26" t="s">
        <v>10</v>
      </c>
      <c r="H34" s="27"/>
      <c r="I34" s="27"/>
      <c r="J34" s="27"/>
      <c r="K34" s="27"/>
      <c r="L34" s="28"/>
      <c r="M34" s="43"/>
      <c r="N34" s="24" t="e">
        <f>G34*$H$2</f>
        <v>#VALUE!</v>
      </c>
      <c r="O34" s="40"/>
      <c r="P34" s="40"/>
      <c r="Q34" s="24">
        <f>I34*$H$2</f>
        <v>0</v>
      </c>
      <c r="R34" s="24">
        <f>J34*$H$2</f>
        <v>0</v>
      </c>
      <c r="S34" s="24">
        <f>K34*$H$2</f>
        <v>0</v>
      </c>
      <c r="T34" s="24">
        <f>L34*$H$2</f>
        <v>0</v>
      </c>
      <c r="U34" s="20" t="s">
        <v>21</v>
      </c>
      <c r="V34" s="21"/>
      <c r="W34" s="21"/>
      <c r="X34" s="21"/>
      <c r="Y34" s="21"/>
      <c r="Z34" s="21"/>
      <c r="AA34" s="22"/>
    </row>
    <row r="35" spans="1:27" ht="26">
      <c r="A35" s="12" t="s">
        <v>25</v>
      </c>
      <c r="B35" s="2" t="s">
        <v>27</v>
      </c>
      <c r="C35" s="2"/>
      <c r="D35" s="2" t="s">
        <v>26</v>
      </c>
      <c r="E35" s="2"/>
      <c r="F35" s="30" t="s">
        <v>28</v>
      </c>
      <c r="G35" s="29" t="s">
        <v>11</v>
      </c>
      <c r="H35" s="30" t="s">
        <v>23</v>
      </c>
      <c r="I35" s="30" t="s">
        <v>24</v>
      </c>
      <c r="J35" s="30" t="s">
        <v>12</v>
      </c>
      <c r="K35" s="30" t="s">
        <v>13</v>
      </c>
      <c r="L35" s="31" t="s">
        <v>14</v>
      </c>
      <c r="M35" s="41"/>
      <c r="N35" s="24" t="e">
        <f>G35*$H$2</f>
        <v>#VALUE!</v>
      </c>
      <c r="O35" s="40"/>
      <c r="P35" s="40"/>
      <c r="Q35" s="24" t="e">
        <f>I35*$H$2</f>
        <v>#VALUE!</v>
      </c>
      <c r="R35" s="24" t="e">
        <f>J35*$H$2</f>
        <v>#VALUE!</v>
      </c>
      <c r="S35" s="24" t="e">
        <f>K35*$H$2</f>
        <v>#VALUE!</v>
      </c>
      <c r="T35" s="24" t="e">
        <f>L35*$H$2</f>
        <v>#VALUE!</v>
      </c>
      <c r="U35" s="3" t="s">
        <v>15</v>
      </c>
      <c r="V35" s="2" t="s">
        <v>16</v>
      </c>
      <c r="W35" s="2" t="s">
        <v>17</v>
      </c>
      <c r="X35" s="2" t="s">
        <v>24</v>
      </c>
      <c r="Y35" s="2" t="s">
        <v>18</v>
      </c>
      <c r="Z35" s="2" t="s">
        <v>19</v>
      </c>
      <c r="AA35" s="4" t="s">
        <v>20</v>
      </c>
    </row>
    <row r="36" spans="1:27">
      <c r="A36" s="3"/>
      <c r="B36" s="1">
        <v>1300</v>
      </c>
      <c r="C36" s="1">
        <f>B36*H2</f>
        <v>589.66959999999995</v>
      </c>
      <c r="D36" s="1">
        <v>1</v>
      </c>
      <c r="F36" s="25">
        <v>816</v>
      </c>
      <c r="G36" s="32">
        <v>10.07</v>
      </c>
      <c r="H36" s="25">
        <v>6.6</v>
      </c>
      <c r="I36" s="25">
        <v>1.9</v>
      </c>
      <c r="J36" s="25">
        <v>1.54</v>
      </c>
      <c r="K36" s="25">
        <v>4.9000000000000002E-2</v>
      </c>
      <c r="L36" s="33">
        <v>2.8000000000000001E-2</v>
      </c>
      <c r="M36" s="42"/>
      <c r="N36" s="24">
        <f>G36*$H$2</f>
        <v>4.5676714399999998</v>
      </c>
      <c r="O36" s="40"/>
      <c r="P36" s="40"/>
      <c r="Q36" s="24">
        <f>I36*$H$2</f>
        <v>0.86182479999999995</v>
      </c>
      <c r="R36" s="24">
        <f>J36*$H$2</f>
        <v>0.69853167999999999</v>
      </c>
      <c r="S36" s="24">
        <f>K36*$H$2</f>
        <v>2.2226008000000002E-2</v>
      </c>
      <c r="T36" s="24">
        <f>L36*$H$2</f>
        <v>1.2700576E-2</v>
      </c>
      <c r="U36" s="5">
        <v>17</v>
      </c>
      <c r="V36" s="1">
        <v>59.4</v>
      </c>
      <c r="W36" s="1">
        <v>0.59</v>
      </c>
      <c r="X36" s="1">
        <v>0.33</v>
      </c>
      <c r="Y36" s="1">
        <v>9.1</v>
      </c>
      <c r="Z36" s="1">
        <v>0.28999999999999998</v>
      </c>
      <c r="AA36" s="6">
        <v>0.17</v>
      </c>
    </row>
    <row r="37" spans="1:27">
      <c r="A37" s="3"/>
      <c r="D37" s="1">
        <v>2</v>
      </c>
      <c r="G37" s="32">
        <v>10.45</v>
      </c>
      <c r="H37" s="25">
        <v>6.9</v>
      </c>
      <c r="I37" s="25">
        <v>1.9</v>
      </c>
      <c r="J37" s="25">
        <v>1.57</v>
      </c>
      <c r="K37" s="25">
        <v>4.9000000000000002E-2</v>
      </c>
      <c r="L37" s="33">
        <v>2.9000000000000001E-2</v>
      </c>
      <c r="M37" s="42"/>
      <c r="N37" s="24">
        <f>G37*$H$2</f>
        <v>4.7400363999999993</v>
      </c>
      <c r="O37" s="40"/>
      <c r="P37" s="40"/>
      <c r="Q37" s="24">
        <f>I37*$H$2</f>
        <v>0.86182479999999995</v>
      </c>
      <c r="R37" s="24">
        <f>J37*$H$2</f>
        <v>0.71213944000000007</v>
      </c>
      <c r="S37" s="24">
        <f>K37*$H$2</f>
        <v>2.2226008000000002E-2</v>
      </c>
      <c r="T37" s="24">
        <f>L37*$H$2</f>
        <v>1.3154168000000001E-2</v>
      </c>
      <c r="U37" s="5">
        <v>17.5</v>
      </c>
      <c r="V37" s="1">
        <v>59.6</v>
      </c>
      <c r="W37" s="1">
        <v>0.59</v>
      </c>
      <c r="X37" s="1">
        <v>0.33</v>
      </c>
      <c r="Y37" s="1">
        <v>8.9</v>
      </c>
      <c r="Z37" s="1">
        <v>0.28000000000000003</v>
      </c>
      <c r="AA37" s="6">
        <v>0.16</v>
      </c>
    </row>
    <row r="38" spans="1:27">
      <c r="A38" s="3"/>
      <c r="D38" s="1">
        <v>3</v>
      </c>
      <c r="G38" s="32">
        <v>10.75</v>
      </c>
      <c r="H38" s="25">
        <v>7.1</v>
      </c>
      <c r="I38" s="25">
        <v>2</v>
      </c>
      <c r="J38" s="25">
        <v>1.6</v>
      </c>
      <c r="K38" s="25">
        <v>0.05</v>
      </c>
      <c r="L38" s="33">
        <v>2.9000000000000001E-2</v>
      </c>
      <c r="M38" s="42"/>
      <c r="N38" s="24">
        <f>G38*$H$2</f>
        <v>4.8761140000000003</v>
      </c>
      <c r="O38" s="40"/>
      <c r="P38" s="40"/>
      <c r="Q38" s="24">
        <f>I38*$H$2</f>
        <v>0.90718399999999999</v>
      </c>
      <c r="R38" s="24">
        <f>J38*$H$2</f>
        <v>0.72574720000000004</v>
      </c>
      <c r="S38" s="24">
        <f>K38*$H$2</f>
        <v>2.2679600000000001E-2</v>
      </c>
      <c r="T38" s="24">
        <f>L38*$H$2</f>
        <v>1.3154168000000001E-2</v>
      </c>
      <c r="U38" s="5">
        <v>18</v>
      </c>
      <c r="V38" s="1">
        <v>59.6</v>
      </c>
      <c r="W38" s="1">
        <v>0.59</v>
      </c>
      <c r="X38" s="1">
        <v>0.33</v>
      </c>
      <c r="Y38" s="1">
        <v>8.8000000000000007</v>
      </c>
      <c r="Z38" s="1">
        <v>0.28000000000000003</v>
      </c>
      <c r="AA38" s="6">
        <v>0.16</v>
      </c>
    </row>
    <row r="39" spans="1:27">
      <c r="A39" s="3"/>
      <c r="D39" s="1">
        <v>4</v>
      </c>
      <c r="G39" s="32">
        <v>11.18</v>
      </c>
      <c r="H39" s="25">
        <v>7.5</v>
      </c>
      <c r="I39" s="25">
        <v>2</v>
      </c>
      <c r="J39" s="25">
        <v>1.63</v>
      </c>
      <c r="K39" s="25">
        <v>0.05</v>
      </c>
      <c r="L39" s="33">
        <v>0.03</v>
      </c>
      <c r="M39" s="42"/>
      <c r="N39" s="24">
        <f>G39*$H$2</f>
        <v>5.0711585599999998</v>
      </c>
      <c r="O39" s="40"/>
      <c r="P39" s="40"/>
      <c r="Q39" s="24">
        <f>I39*$H$2</f>
        <v>0.90718399999999999</v>
      </c>
      <c r="R39" s="24">
        <f>J39*$H$2</f>
        <v>0.73935495999999989</v>
      </c>
      <c r="S39" s="24">
        <f>K39*$H$2</f>
        <v>2.2679600000000001E-2</v>
      </c>
      <c r="T39" s="24">
        <f>L39*$H$2</f>
        <v>1.360776E-2</v>
      </c>
      <c r="U39" s="5">
        <v>18.600000000000001</v>
      </c>
      <c r="V39" s="1">
        <v>60</v>
      </c>
      <c r="W39" s="1">
        <v>0.59</v>
      </c>
      <c r="X39" s="1">
        <v>0.33</v>
      </c>
      <c r="Y39" s="1">
        <v>8.8000000000000007</v>
      </c>
      <c r="Z39" s="1">
        <v>0.27</v>
      </c>
      <c r="AA39" s="6">
        <v>0.16</v>
      </c>
    </row>
    <row r="40" spans="1:27">
      <c r="A40" s="3"/>
      <c r="D40" s="1">
        <v>5</v>
      </c>
      <c r="G40" s="32">
        <v>11.6</v>
      </c>
      <c r="H40" s="25">
        <v>7.9</v>
      </c>
      <c r="I40" s="25">
        <v>2.1</v>
      </c>
      <c r="J40" s="25">
        <v>1.69</v>
      </c>
      <c r="K40" s="25">
        <v>5.0999999999999997E-2</v>
      </c>
      <c r="L40" s="33">
        <v>3.1E-2</v>
      </c>
      <c r="M40" s="42"/>
      <c r="N40" s="24">
        <f>G40*$H$2</f>
        <v>5.2616671999999998</v>
      </c>
      <c r="O40" s="40"/>
      <c r="P40" s="40"/>
      <c r="Q40" s="24">
        <f>I40*$H$2</f>
        <v>0.95254320000000003</v>
      </c>
      <c r="R40" s="24">
        <f>J40*$H$2</f>
        <v>0.76657047999999994</v>
      </c>
      <c r="S40" s="24">
        <f>K40*$H$2</f>
        <v>2.3133191999999997E-2</v>
      </c>
      <c r="T40" s="24">
        <f>L40*$H$2</f>
        <v>1.4061351999999999E-2</v>
      </c>
      <c r="U40" s="5">
        <v>19.2</v>
      </c>
      <c r="V40" s="1">
        <v>60.3</v>
      </c>
      <c r="W40" s="1">
        <v>0.6</v>
      </c>
      <c r="X40" s="1">
        <v>0.34</v>
      </c>
      <c r="Y40" s="1">
        <v>8.8000000000000007</v>
      </c>
      <c r="Z40" s="1">
        <v>0.26</v>
      </c>
      <c r="AA40" s="6">
        <v>0.16</v>
      </c>
    </row>
    <row r="41" spans="1:27">
      <c r="A41" s="3"/>
      <c r="D41" s="1">
        <v>6</v>
      </c>
      <c r="G41" s="32">
        <v>12.13</v>
      </c>
      <c r="H41" s="25">
        <v>8.5</v>
      </c>
      <c r="I41" s="25">
        <v>2.1</v>
      </c>
      <c r="J41" s="25">
        <v>1.76</v>
      </c>
      <c r="K41" s="25">
        <v>5.1999999999999998E-2</v>
      </c>
      <c r="L41" s="33">
        <v>3.1E-2</v>
      </c>
      <c r="M41" s="42"/>
      <c r="N41" s="24">
        <f>G41*$H$2</f>
        <v>5.5020709600000002</v>
      </c>
      <c r="O41" s="40"/>
      <c r="P41" s="40"/>
      <c r="Q41" s="24">
        <f>I41*$H$2</f>
        <v>0.95254320000000003</v>
      </c>
      <c r="R41" s="24">
        <f>J41*$H$2</f>
        <v>0.79832192000000002</v>
      </c>
      <c r="S41" s="24">
        <f>K41*$H$2</f>
        <v>2.3586784E-2</v>
      </c>
      <c r="T41" s="24">
        <f>L41*$H$2</f>
        <v>1.4061351999999999E-2</v>
      </c>
      <c r="U41" s="5">
        <v>19.899999999999999</v>
      </c>
      <c r="V41" s="1">
        <v>61</v>
      </c>
      <c r="W41" s="1">
        <v>0.61</v>
      </c>
      <c r="X41" s="1">
        <v>0.35</v>
      </c>
      <c r="Y41" s="1">
        <v>8.9</v>
      </c>
      <c r="Z41" s="1">
        <v>0.26</v>
      </c>
      <c r="AA41" s="6">
        <v>0.16</v>
      </c>
    </row>
    <row r="42" spans="1:27">
      <c r="A42" s="3"/>
      <c r="D42" s="1">
        <v>7</v>
      </c>
      <c r="G42" s="32">
        <v>12.76</v>
      </c>
      <c r="H42" s="25">
        <v>9.3000000000000007</v>
      </c>
      <c r="I42" s="25">
        <v>2.1</v>
      </c>
      <c r="J42" s="25">
        <v>1.88</v>
      </c>
      <c r="K42" s="25">
        <v>7.3999999999999996E-2</v>
      </c>
      <c r="L42" s="33">
        <v>4.1000000000000002E-2</v>
      </c>
      <c r="M42" s="42"/>
      <c r="N42" s="24">
        <f>G42*$H$2</f>
        <v>5.7878339199999997</v>
      </c>
      <c r="O42" s="40"/>
      <c r="P42" s="40"/>
      <c r="Q42" s="24">
        <f>I42*$H$2</f>
        <v>0.95254320000000003</v>
      </c>
      <c r="R42" s="24">
        <f>J42*$H$2</f>
        <v>0.85275295999999989</v>
      </c>
      <c r="S42" s="24">
        <f>K42*$H$2</f>
        <v>3.3565807999999996E-2</v>
      </c>
      <c r="T42" s="24">
        <f>L42*$H$2</f>
        <v>1.8597272000000001E-2</v>
      </c>
      <c r="U42" s="5">
        <v>20.6</v>
      </c>
      <c r="V42" s="1">
        <v>62</v>
      </c>
      <c r="W42" s="1">
        <v>0.63</v>
      </c>
      <c r="X42" s="1">
        <v>0.36</v>
      </c>
      <c r="Y42" s="1">
        <v>9.1</v>
      </c>
      <c r="Z42" s="1">
        <v>0.36</v>
      </c>
      <c r="AA42" s="6">
        <v>0.2</v>
      </c>
    </row>
    <row r="43" spans="1:27">
      <c r="A43" s="3"/>
      <c r="D43" s="1">
        <v>8</v>
      </c>
      <c r="G43" s="32">
        <v>13.61</v>
      </c>
      <c r="H43" s="25">
        <v>10.5</v>
      </c>
      <c r="I43" s="25">
        <v>2</v>
      </c>
      <c r="J43" s="25">
        <v>2.06</v>
      </c>
      <c r="K43" s="25">
        <v>7.5999999999999998E-2</v>
      </c>
      <c r="L43" s="33">
        <v>4.2000000000000003E-2</v>
      </c>
      <c r="M43" s="42"/>
      <c r="N43" s="24">
        <f>G43*$H$2</f>
        <v>6.1733871200000001</v>
      </c>
      <c r="O43" s="40"/>
      <c r="P43" s="40"/>
      <c r="Q43" s="24">
        <f>I43*$H$2</f>
        <v>0.90718399999999999</v>
      </c>
      <c r="R43" s="24">
        <f>J43*$H$2</f>
        <v>0.93439952000000004</v>
      </c>
      <c r="S43" s="24">
        <f>K43*$H$2</f>
        <v>3.4472992000000001E-2</v>
      </c>
      <c r="T43" s="24">
        <f>L43*$H$2</f>
        <v>1.9050864000000001E-2</v>
      </c>
      <c r="U43" s="5">
        <v>21.4</v>
      </c>
      <c r="V43" s="1">
        <v>63.5</v>
      </c>
      <c r="W43" s="1">
        <v>0.65</v>
      </c>
      <c r="X43" s="1">
        <v>0.38</v>
      </c>
      <c r="Y43" s="1">
        <v>9.6</v>
      </c>
      <c r="Z43" s="1">
        <v>0.35</v>
      </c>
      <c r="AA43" s="6">
        <v>0.2</v>
      </c>
    </row>
    <row r="44" spans="1:27">
      <c r="A44" s="3"/>
      <c r="D44" s="1">
        <v>9</v>
      </c>
      <c r="F44" s="25">
        <v>1205</v>
      </c>
      <c r="G44" s="34">
        <v>14.66</v>
      </c>
      <c r="H44" s="35">
        <v>12.1</v>
      </c>
      <c r="I44" s="35">
        <v>1.8</v>
      </c>
      <c r="J44" s="35">
        <v>2.35</v>
      </c>
      <c r="K44" s="35">
        <v>7.8E-2</v>
      </c>
      <c r="L44" s="36">
        <v>4.2999999999999997E-2</v>
      </c>
      <c r="M44" s="42"/>
      <c r="N44" s="24">
        <f>G44*$H$2</f>
        <v>6.6496587199999997</v>
      </c>
      <c r="O44" s="40"/>
      <c r="P44" s="40"/>
      <c r="Q44" s="24">
        <f>I44*$H$2</f>
        <v>0.81646560000000001</v>
      </c>
      <c r="R44" s="24">
        <f>J44*$H$2</f>
        <v>1.0659411999999999</v>
      </c>
      <c r="S44" s="24">
        <f>K44*$H$2</f>
        <v>3.5380175999999999E-2</v>
      </c>
      <c r="T44" s="24">
        <f>L44*$H$2</f>
        <v>1.9504456E-2</v>
      </c>
      <c r="U44" s="7">
        <v>22.4</v>
      </c>
      <c r="V44" s="8">
        <v>65.400000000000006</v>
      </c>
      <c r="W44" s="8">
        <v>0.68</v>
      </c>
      <c r="X44" s="8">
        <v>0.41</v>
      </c>
      <c r="Y44" s="8">
        <v>10.5</v>
      </c>
      <c r="Z44" s="8">
        <v>0.35</v>
      </c>
      <c r="AA44" s="9">
        <v>0.19</v>
      </c>
    </row>
    <row r="45" spans="1:27">
      <c r="A45" s="13"/>
      <c r="B45" s="8"/>
      <c r="C45" s="8"/>
      <c r="D45" s="8"/>
      <c r="E45" s="8"/>
      <c r="F45" s="35"/>
      <c r="G45" s="35"/>
      <c r="H45" s="35"/>
      <c r="I45" s="35"/>
      <c r="J45" s="35"/>
      <c r="K45" s="35"/>
      <c r="L45" s="35"/>
      <c r="M45" s="42"/>
      <c r="N45" s="24">
        <f>G45*$H$2</f>
        <v>0</v>
      </c>
      <c r="O45" s="40"/>
      <c r="P45" s="40"/>
      <c r="Q45" s="24">
        <f>I45*$H$2</f>
        <v>0</v>
      </c>
      <c r="R45" s="24">
        <f>J45*$H$2</f>
        <v>0</v>
      </c>
      <c r="S45" s="24">
        <f>K45*$H$2</f>
        <v>0</v>
      </c>
      <c r="T45" s="24">
        <f>L45*$H$2</f>
        <v>0</v>
      </c>
      <c r="U45" s="8"/>
      <c r="V45" s="8"/>
      <c r="W45" s="8"/>
      <c r="X45" s="8"/>
      <c r="Y45" s="8"/>
      <c r="Z45" s="8"/>
      <c r="AA45" s="9"/>
    </row>
    <row r="46" spans="1:27">
      <c r="A46" s="11"/>
      <c r="B46" s="10"/>
      <c r="C46" s="10"/>
      <c r="D46" s="10"/>
      <c r="E46" s="10"/>
      <c r="F46" s="37"/>
      <c r="G46" s="26" t="s">
        <v>10</v>
      </c>
      <c r="H46" s="27"/>
      <c r="I46" s="27"/>
      <c r="J46" s="27"/>
      <c r="K46" s="27"/>
      <c r="L46" s="28"/>
      <c r="M46" s="43"/>
      <c r="N46" s="24" t="e">
        <f>G46*$H$2</f>
        <v>#VALUE!</v>
      </c>
      <c r="O46" s="40"/>
      <c r="P46" s="40"/>
      <c r="Q46" s="24">
        <f>I46*$H$2</f>
        <v>0</v>
      </c>
      <c r="R46" s="24">
        <f>J46*$H$2</f>
        <v>0</v>
      </c>
      <c r="S46" s="24">
        <f>K46*$H$2</f>
        <v>0</v>
      </c>
      <c r="T46" s="24">
        <f>L46*$H$2</f>
        <v>0</v>
      </c>
      <c r="U46" s="20" t="s">
        <v>21</v>
      </c>
      <c r="V46" s="21"/>
      <c r="W46" s="21"/>
      <c r="X46" s="21"/>
      <c r="Y46" s="21"/>
      <c r="Z46" s="21"/>
      <c r="AA46" s="22"/>
    </row>
    <row r="47" spans="1:27" ht="39">
      <c r="A47" s="12" t="s">
        <v>29</v>
      </c>
      <c r="B47" s="2" t="s">
        <v>27</v>
      </c>
      <c r="C47" s="2"/>
      <c r="D47" s="2" t="s">
        <v>31</v>
      </c>
      <c r="E47" s="2" t="s">
        <v>121</v>
      </c>
      <c r="F47" s="30" t="s">
        <v>30</v>
      </c>
      <c r="G47" s="29" t="s">
        <v>11</v>
      </c>
      <c r="H47" s="30" t="s">
        <v>23</v>
      </c>
      <c r="I47" s="30" t="s">
        <v>24</v>
      </c>
      <c r="J47" s="30" t="s">
        <v>12</v>
      </c>
      <c r="K47" s="30" t="s">
        <v>13</v>
      </c>
      <c r="L47" s="31" t="s">
        <v>14</v>
      </c>
      <c r="M47" s="41"/>
      <c r="N47" s="24" t="e">
        <f>G47*$H$2</f>
        <v>#VALUE!</v>
      </c>
      <c r="O47" s="40"/>
      <c r="P47" s="40"/>
      <c r="Q47" s="24" t="e">
        <f>I47*$H$2</f>
        <v>#VALUE!</v>
      </c>
      <c r="R47" s="24" t="e">
        <f>J47*$H$2</f>
        <v>#VALUE!</v>
      </c>
      <c r="S47" s="24" t="e">
        <f>K47*$H$2</f>
        <v>#VALUE!</v>
      </c>
      <c r="T47" s="24" t="e">
        <f>L47*$H$2</f>
        <v>#VALUE!</v>
      </c>
      <c r="U47" s="3" t="s">
        <v>15</v>
      </c>
      <c r="V47" s="2" t="s">
        <v>16</v>
      </c>
      <c r="W47" s="2" t="s">
        <v>17</v>
      </c>
      <c r="X47" s="2" t="s">
        <v>24</v>
      </c>
      <c r="Y47" s="2" t="s">
        <v>18</v>
      </c>
      <c r="Z47" s="2" t="s">
        <v>19</v>
      </c>
      <c r="AA47" s="4" t="s">
        <v>20</v>
      </c>
    </row>
    <row r="48" spans="1:27">
      <c r="A48" s="3"/>
      <c r="B48" s="1">
        <v>1300</v>
      </c>
      <c r="C48" s="1">
        <f>B48*H2</f>
        <v>589.66959999999995</v>
      </c>
      <c r="D48" s="1">
        <v>400</v>
      </c>
      <c r="E48" s="1">
        <f>D48*$H$2</f>
        <v>181.43680000000001</v>
      </c>
      <c r="F48" s="25">
        <v>1</v>
      </c>
      <c r="G48" s="32">
        <v>5.67</v>
      </c>
      <c r="H48" s="25">
        <v>3.9</v>
      </c>
      <c r="I48" s="25">
        <v>1</v>
      </c>
      <c r="J48" s="25">
        <v>1.04</v>
      </c>
      <c r="K48" s="25">
        <v>0.04</v>
      </c>
      <c r="L48" s="33">
        <v>0.02</v>
      </c>
      <c r="M48" s="42"/>
      <c r="N48" s="24">
        <f>G48*$H$2</f>
        <v>2.5718666400000001</v>
      </c>
      <c r="O48" s="40"/>
      <c r="P48" s="40"/>
      <c r="Q48" s="24">
        <f>I48*$H$2</f>
        <v>0.453592</v>
      </c>
      <c r="R48" s="24">
        <f>J48*$H$2</f>
        <v>0.47173567999999999</v>
      </c>
      <c r="S48" s="24">
        <f>K48*$H$2</f>
        <v>1.8143679999999999E-2</v>
      </c>
      <c r="T48" s="24">
        <f>L48*$H$2</f>
        <v>9.0718399999999994E-3</v>
      </c>
      <c r="U48" s="5">
        <v>9.5</v>
      </c>
      <c r="V48" s="1">
        <v>59.5</v>
      </c>
      <c r="W48" s="1">
        <v>0.59</v>
      </c>
      <c r="X48" s="1">
        <v>0.33</v>
      </c>
      <c r="Y48" s="1">
        <v>10.9</v>
      </c>
      <c r="Z48" s="1">
        <v>0.42</v>
      </c>
      <c r="AA48" s="6">
        <v>0.21</v>
      </c>
    </row>
    <row r="49" spans="1:27">
      <c r="A49" s="3"/>
      <c r="D49" s="1">
        <v>500</v>
      </c>
      <c r="E49" s="1">
        <f t="shared" ref="E49:E112" si="1">D49*$H$2</f>
        <v>226.79599999999999</v>
      </c>
      <c r="G49" s="32">
        <v>6.69</v>
      </c>
      <c r="H49" s="25">
        <v>4.5999999999999996</v>
      </c>
      <c r="I49" s="25">
        <v>1.2</v>
      </c>
      <c r="J49" s="25">
        <v>1.1200000000000001</v>
      </c>
      <c r="K49" s="25">
        <v>4.1000000000000002E-2</v>
      </c>
      <c r="L49" s="33">
        <v>2.1999999999999999E-2</v>
      </c>
      <c r="M49" s="42"/>
      <c r="N49" s="24">
        <f>G49*$H$2</f>
        <v>3.0345304800000004</v>
      </c>
      <c r="O49" s="40"/>
      <c r="P49" s="40"/>
      <c r="Q49" s="24">
        <f>I49*$H$2</f>
        <v>0.54431039999999997</v>
      </c>
      <c r="R49" s="24">
        <f>J49*$H$2</f>
        <v>0.50802304000000009</v>
      </c>
      <c r="S49" s="24">
        <f>K49*$H$2</f>
        <v>1.8597272000000001E-2</v>
      </c>
      <c r="T49" s="24">
        <f>L49*$H$2</f>
        <v>9.9790239999999995E-3</v>
      </c>
      <c r="U49" s="5">
        <v>11.3</v>
      </c>
      <c r="V49" s="1">
        <v>59.4</v>
      </c>
      <c r="W49" s="1">
        <v>0.59</v>
      </c>
      <c r="X49" s="1">
        <v>0.33</v>
      </c>
      <c r="Y49" s="1">
        <v>10</v>
      </c>
      <c r="Z49" s="1">
        <v>0.36</v>
      </c>
      <c r="AA49" s="6">
        <v>0.19</v>
      </c>
    </row>
    <row r="50" spans="1:27">
      <c r="A50" s="3"/>
      <c r="D50" s="1">
        <v>600</v>
      </c>
      <c r="E50" s="1">
        <f t="shared" si="1"/>
        <v>272.15519999999998</v>
      </c>
      <c r="G50" s="32">
        <v>7.7</v>
      </c>
      <c r="H50" s="25">
        <v>5.3</v>
      </c>
      <c r="I50" s="25">
        <v>1.3</v>
      </c>
      <c r="J50" s="25">
        <v>1.2</v>
      </c>
      <c r="K50" s="25">
        <v>4.2000000000000003E-2</v>
      </c>
      <c r="L50" s="33">
        <v>2.4E-2</v>
      </c>
      <c r="M50" s="42"/>
      <c r="N50" s="24">
        <f>G50*$H$2</f>
        <v>3.4926583999999998</v>
      </c>
      <c r="O50" s="40"/>
      <c r="P50" s="40"/>
      <c r="Q50" s="24">
        <f>I50*$H$2</f>
        <v>0.58966960000000002</v>
      </c>
      <c r="R50" s="24">
        <f>J50*$H$2</f>
        <v>0.54431039999999997</v>
      </c>
      <c r="S50" s="24">
        <f>K50*$H$2</f>
        <v>1.9050864000000001E-2</v>
      </c>
      <c r="T50" s="24">
        <f>L50*$H$2</f>
        <v>1.0886208E-2</v>
      </c>
      <c r="U50" s="5">
        <v>12.9</v>
      </c>
      <c r="V50" s="1">
        <v>59.5</v>
      </c>
      <c r="W50" s="1">
        <v>0.59</v>
      </c>
      <c r="X50" s="1">
        <v>0.33</v>
      </c>
      <c r="Y50" s="1">
        <v>9.3000000000000007</v>
      </c>
      <c r="Z50" s="1">
        <v>0.33</v>
      </c>
      <c r="AA50" s="6">
        <v>0.18</v>
      </c>
    </row>
    <row r="51" spans="1:27">
      <c r="A51" s="3"/>
      <c r="D51" s="1">
        <v>700</v>
      </c>
      <c r="E51" s="1">
        <f t="shared" si="1"/>
        <v>317.51440000000002</v>
      </c>
      <c r="G51" s="32">
        <v>8.61</v>
      </c>
      <c r="H51" s="25">
        <v>5.9</v>
      </c>
      <c r="I51" s="25">
        <v>1.5</v>
      </c>
      <c r="J51" s="25">
        <v>1.28</v>
      </c>
      <c r="K51" s="25">
        <v>4.3999999999999997E-2</v>
      </c>
      <c r="L51" s="33">
        <v>2.5000000000000001E-2</v>
      </c>
      <c r="M51" s="42"/>
      <c r="N51" s="24">
        <f>G51*$H$2</f>
        <v>3.9054271199999997</v>
      </c>
      <c r="O51" s="40"/>
      <c r="P51" s="40"/>
      <c r="Q51" s="24">
        <f>I51*$H$2</f>
        <v>0.68038799999999999</v>
      </c>
      <c r="R51" s="24">
        <f>J51*$H$2</f>
        <v>0.58059775999999996</v>
      </c>
      <c r="S51" s="24">
        <f>K51*$H$2</f>
        <v>1.9958047999999999E-2</v>
      </c>
      <c r="T51" s="24">
        <f>L51*$H$2</f>
        <v>1.1339800000000001E-2</v>
      </c>
      <c r="U51" s="5">
        <v>14.5</v>
      </c>
      <c r="V51" s="1">
        <v>59.4</v>
      </c>
      <c r="W51" s="1">
        <v>0.59</v>
      </c>
      <c r="X51" s="1">
        <v>0.33</v>
      </c>
      <c r="Y51" s="1">
        <v>8.8000000000000007</v>
      </c>
      <c r="Z51" s="1">
        <v>0.3</v>
      </c>
      <c r="AA51" s="6">
        <v>0.17</v>
      </c>
    </row>
    <row r="52" spans="1:27">
      <c r="A52" s="3"/>
      <c r="D52" s="1">
        <v>800</v>
      </c>
      <c r="E52" s="1">
        <f t="shared" si="1"/>
        <v>362.87360000000001</v>
      </c>
      <c r="G52" s="32">
        <v>9.5</v>
      </c>
      <c r="H52" s="25">
        <v>6.5</v>
      </c>
      <c r="I52" s="25">
        <v>1.6</v>
      </c>
      <c r="J52" s="25">
        <v>1.35</v>
      </c>
      <c r="K52" s="25">
        <v>4.5999999999999999E-2</v>
      </c>
      <c r="L52" s="33">
        <v>2.7E-2</v>
      </c>
      <c r="M52" s="42"/>
      <c r="N52" s="24">
        <f>G52*$H$2</f>
        <v>4.3091239999999997</v>
      </c>
      <c r="O52" s="40"/>
      <c r="P52" s="40"/>
      <c r="Q52" s="24">
        <f>I52*$H$2</f>
        <v>0.72574720000000004</v>
      </c>
      <c r="R52" s="24">
        <f>J52*$H$2</f>
        <v>0.61234920000000004</v>
      </c>
      <c r="S52" s="24">
        <f>K52*$H$2</f>
        <v>2.0865232000000001E-2</v>
      </c>
      <c r="T52" s="24">
        <f>L52*$H$2</f>
        <v>1.2246983999999999E-2</v>
      </c>
      <c r="U52" s="5">
        <v>16</v>
      </c>
      <c r="V52" s="1">
        <v>59.3</v>
      </c>
      <c r="W52" s="1">
        <v>0.59</v>
      </c>
      <c r="X52" s="1">
        <v>0.33</v>
      </c>
      <c r="Y52" s="1">
        <v>8.4</v>
      </c>
      <c r="Z52" s="1">
        <v>0.28000000000000003</v>
      </c>
      <c r="AA52" s="6">
        <v>0.17</v>
      </c>
    </row>
    <row r="53" spans="1:27">
      <c r="A53" s="3"/>
      <c r="D53" s="1">
        <v>400</v>
      </c>
      <c r="E53" s="1">
        <f t="shared" si="1"/>
        <v>181.43680000000001</v>
      </c>
      <c r="F53" s="25">
        <v>1.5</v>
      </c>
      <c r="G53" s="32">
        <v>6.24</v>
      </c>
      <c r="H53" s="25">
        <v>3.9</v>
      </c>
      <c r="I53" s="25">
        <v>1.5</v>
      </c>
      <c r="J53" s="25">
        <v>1.25</v>
      </c>
      <c r="K53" s="25">
        <v>5.2999999999999999E-2</v>
      </c>
      <c r="L53" s="33">
        <v>2.5999999999999999E-2</v>
      </c>
      <c r="M53" s="42"/>
      <c r="N53" s="24">
        <f>G53*$H$2</f>
        <v>2.8304140800000002</v>
      </c>
      <c r="O53" s="40"/>
      <c r="P53" s="40"/>
      <c r="Q53" s="24">
        <f>I53*$H$2</f>
        <v>0.68038799999999999</v>
      </c>
      <c r="R53" s="24">
        <f>J53*$H$2</f>
        <v>0.56698999999999999</v>
      </c>
      <c r="S53" s="24">
        <f>K53*$H$2</f>
        <v>2.4040375999999999E-2</v>
      </c>
      <c r="T53" s="24">
        <f>L53*$H$2</f>
        <v>1.1793392E-2</v>
      </c>
      <c r="U53" s="5">
        <v>9.6999999999999993</v>
      </c>
      <c r="V53" s="1">
        <v>64</v>
      </c>
      <c r="W53" s="1">
        <v>0.66</v>
      </c>
      <c r="X53" s="1">
        <v>0.39</v>
      </c>
      <c r="Y53" s="1">
        <v>12.8</v>
      </c>
      <c r="Z53" s="1">
        <v>0.54</v>
      </c>
      <c r="AA53" s="6">
        <v>0.26</v>
      </c>
    </row>
    <row r="54" spans="1:27">
      <c r="A54" s="3"/>
      <c r="D54" s="1">
        <v>500</v>
      </c>
      <c r="E54" s="1">
        <f t="shared" si="1"/>
        <v>226.79599999999999</v>
      </c>
      <c r="G54" s="32">
        <v>7.37</v>
      </c>
      <c r="H54" s="25">
        <v>4.5999999999999996</v>
      </c>
      <c r="I54" s="25">
        <v>1.8</v>
      </c>
      <c r="J54" s="25">
        <v>1.32</v>
      </c>
      <c r="K54" s="25">
        <v>5.3999999999999999E-2</v>
      </c>
      <c r="L54" s="33">
        <v>2.7E-2</v>
      </c>
      <c r="M54" s="42"/>
      <c r="N54" s="24">
        <f>G54*$H$2</f>
        <v>3.34297304</v>
      </c>
      <c r="O54" s="40"/>
      <c r="P54" s="40"/>
      <c r="Q54" s="24">
        <f>I54*$H$2</f>
        <v>0.81646560000000001</v>
      </c>
      <c r="R54" s="24">
        <f>J54*$H$2</f>
        <v>0.59874144000000007</v>
      </c>
      <c r="S54" s="24">
        <f>K54*$H$2</f>
        <v>2.4493967999999998E-2</v>
      </c>
      <c r="T54" s="24">
        <f>L54*$H$2</f>
        <v>1.2246983999999999E-2</v>
      </c>
      <c r="U54" s="5">
        <v>11.5</v>
      </c>
      <c r="V54" s="1">
        <v>64</v>
      </c>
      <c r="W54" s="1">
        <v>0.66</v>
      </c>
      <c r="X54" s="1">
        <v>0.39</v>
      </c>
      <c r="Y54" s="1">
        <v>11.5</v>
      </c>
      <c r="Z54" s="1">
        <v>0.47</v>
      </c>
      <c r="AA54" s="6">
        <v>0.23</v>
      </c>
    </row>
    <row r="55" spans="1:27">
      <c r="A55" s="3"/>
      <c r="D55" s="1">
        <v>600</v>
      </c>
      <c r="E55" s="1">
        <f t="shared" si="1"/>
        <v>272.15519999999998</v>
      </c>
      <c r="G55" s="32">
        <v>8.4700000000000006</v>
      </c>
      <c r="H55" s="25">
        <v>5.3</v>
      </c>
      <c r="I55" s="25">
        <v>2</v>
      </c>
      <c r="J55" s="25">
        <v>1.39</v>
      </c>
      <c r="K55" s="25">
        <v>5.3999999999999999E-2</v>
      </c>
      <c r="L55" s="33">
        <v>2.8000000000000001E-2</v>
      </c>
      <c r="M55" s="42"/>
      <c r="N55" s="24">
        <f>G55*$H$2</f>
        <v>3.8419242400000004</v>
      </c>
      <c r="O55" s="40"/>
      <c r="P55" s="40"/>
      <c r="Q55" s="24">
        <f>I55*$H$2</f>
        <v>0.90718399999999999</v>
      </c>
      <c r="R55" s="24">
        <f>J55*$H$2</f>
        <v>0.63049287999999992</v>
      </c>
      <c r="S55" s="24">
        <f>K55*$H$2</f>
        <v>2.4493967999999998E-2</v>
      </c>
      <c r="T55" s="24">
        <f>L55*$H$2</f>
        <v>1.2700576E-2</v>
      </c>
      <c r="U55" s="5">
        <v>13.2</v>
      </c>
      <c r="V55" s="1">
        <v>64.099999999999994</v>
      </c>
      <c r="W55" s="1">
        <v>0.66</v>
      </c>
      <c r="X55" s="1">
        <v>0.39</v>
      </c>
      <c r="Y55" s="1">
        <v>10.5</v>
      </c>
      <c r="Z55" s="1">
        <v>0.41</v>
      </c>
      <c r="AA55" s="6">
        <v>0.21</v>
      </c>
    </row>
    <row r="56" spans="1:27">
      <c r="A56" s="3"/>
      <c r="D56" s="1">
        <v>700</v>
      </c>
      <c r="E56" s="1">
        <f t="shared" si="1"/>
        <v>317.51440000000002</v>
      </c>
      <c r="G56" s="32">
        <v>9.4700000000000006</v>
      </c>
      <c r="H56" s="25">
        <v>5.9</v>
      </c>
      <c r="I56" s="25">
        <v>2.2000000000000002</v>
      </c>
      <c r="J56" s="25">
        <v>1.45</v>
      </c>
      <c r="K56" s="25">
        <v>5.5E-2</v>
      </c>
      <c r="L56" s="33">
        <v>0.03</v>
      </c>
      <c r="M56" s="42"/>
      <c r="N56" s="24">
        <f>G56*$H$2</f>
        <v>4.2955162400000004</v>
      </c>
      <c r="O56" s="40"/>
      <c r="P56" s="40"/>
      <c r="Q56" s="24">
        <f>I56*$H$2</f>
        <v>0.99790240000000008</v>
      </c>
      <c r="R56" s="24">
        <f>J56*$H$2</f>
        <v>0.65770839999999997</v>
      </c>
      <c r="S56" s="24">
        <f>K56*$H$2</f>
        <v>2.4947560000000001E-2</v>
      </c>
      <c r="T56" s="24">
        <f>L56*$H$2</f>
        <v>1.360776E-2</v>
      </c>
      <c r="U56" s="5">
        <v>14.8</v>
      </c>
      <c r="V56" s="1">
        <v>63.9</v>
      </c>
      <c r="W56" s="1">
        <v>0.65</v>
      </c>
      <c r="X56" s="1">
        <v>0.39</v>
      </c>
      <c r="Y56" s="1">
        <v>9.8000000000000007</v>
      </c>
      <c r="Z56" s="1">
        <v>0.37</v>
      </c>
      <c r="AA56" s="6">
        <v>0.2</v>
      </c>
    </row>
    <row r="57" spans="1:27">
      <c r="A57" s="3"/>
      <c r="D57" s="1">
        <v>800</v>
      </c>
      <c r="E57" s="1">
        <f t="shared" si="1"/>
        <v>362.87360000000001</v>
      </c>
      <c r="G57" s="32">
        <v>10.46</v>
      </c>
      <c r="H57" s="25">
        <v>6.5</v>
      </c>
      <c r="I57" s="25">
        <v>2.5</v>
      </c>
      <c r="J57" s="25">
        <v>1.51</v>
      </c>
      <c r="K57" s="25">
        <v>5.6000000000000001E-2</v>
      </c>
      <c r="L57" s="33">
        <v>3.1E-2</v>
      </c>
      <c r="M57" s="42"/>
      <c r="N57" s="24">
        <f>G57*$H$2</f>
        <v>4.7445723200000005</v>
      </c>
      <c r="O57" s="40"/>
      <c r="P57" s="40"/>
      <c r="Q57" s="24">
        <f>I57*$H$2</f>
        <v>1.13398</v>
      </c>
      <c r="R57" s="24">
        <f>J57*$H$2</f>
        <v>0.68492392000000002</v>
      </c>
      <c r="S57" s="24">
        <f>K57*$H$2</f>
        <v>2.5401152E-2</v>
      </c>
      <c r="T57" s="24">
        <f>L57*$H$2</f>
        <v>1.4061351999999999E-2</v>
      </c>
      <c r="U57" s="5">
        <v>16.399999999999999</v>
      </c>
      <c r="V57" s="1">
        <v>63.9</v>
      </c>
      <c r="W57" s="1">
        <v>0.65</v>
      </c>
      <c r="X57" s="1">
        <v>0.39</v>
      </c>
      <c r="Y57" s="1">
        <v>9.1999999999999993</v>
      </c>
      <c r="Z57" s="1">
        <v>0.34</v>
      </c>
      <c r="AA57" s="6">
        <v>0.19</v>
      </c>
    </row>
    <row r="58" spans="1:27">
      <c r="A58" s="3"/>
      <c r="D58" s="1">
        <v>400</v>
      </c>
      <c r="E58" s="1">
        <f t="shared" si="1"/>
        <v>181.43680000000001</v>
      </c>
      <c r="F58" s="25">
        <v>2</v>
      </c>
      <c r="G58" s="32">
        <v>6.76</v>
      </c>
      <c r="H58" s="25">
        <v>3.9</v>
      </c>
      <c r="I58" s="25">
        <v>2.1</v>
      </c>
      <c r="J58" s="25">
        <v>1.46</v>
      </c>
      <c r="K58" s="25">
        <v>6.6000000000000003E-2</v>
      </c>
      <c r="L58" s="33">
        <v>3.1E-2</v>
      </c>
      <c r="M58" s="42"/>
      <c r="N58" s="24">
        <f>G58*$H$2</f>
        <v>3.0662819199999998</v>
      </c>
      <c r="O58" s="40"/>
      <c r="P58" s="40"/>
      <c r="Q58" s="24">
        <f>I58*$H$2</f>
        <v>0.95254320000000003</v>
      </c>
      <c r="R58" s="24">
        <f>J58*$H$2</f>
        <v>0.66224432</v>
      </c>
      <c r="S58" s="24">
        <f>K58*$H$2</f>
        <v>2.9937072000000002E-2</v>
      </c>
      <c r="T58" s="24">
        <f>L58*$H$2</f>
        <v>1.4061351999999999E-2</v>
      </c>
      <c r="U58" s="5">
        <v>9.8000000000000007</v>
      </c>
      <c r="V58" s="1">
        <v>69.2</v>
      </c>
      <c r="W58" s="1">
        <v>0.73</v>
      </c>
      <c r="X58" s="1">
        <v>0.46</v>
      </c>
      <c r="Y58" s="1">
        <v>14.9</v>
      </c>
      <c r="Z58" s="1">
        <v>0.68</v>
      </c>
      <c r="AA58" s="6">
        <v>0.32</v>
      </c>
    </row>
    <row r="59" spans="1:27">
      <c r="A59" s="3"/>
      <c r="D59" s="1">
        <v>500</v>
      </c>
      <c r="E59" s="1">
        <f t="shared" si="1"/>
        <v>226.79599999999999</v>
      </c>
      <c r="G59" s="32">
        <v>7.99</v>
      </c>
      <c r="H59" s="25">
        <v>4.5999999999999996</v>
      </c>
      <c r="I59" s="25">
        <v>2.4</v>
      </c>
      <c r="J59" s="25">
        <v>1.51</v>
      </c>
      <c r="K59" s="25">
        <v>6.6000000000000003E-2</v>
      </c>
      <c r="L59" s="33">
        <v>3.2000000000000001E-2</v>
      </c>
      <c r="M59" s="42"/>
      <c r="N59" s="24">
        <f>G59*$H$2</f>
        <v>3.62420008</v>
      </c>
      <c r="O59" s="40"/>
      <c r="P59" s="40"/>
      <c r="Q59" s="24">
        <f>I59*$H$2</f>
        <v>1.0886207999999999</v>
      </c>
      <c r="R59" s="24">
        <f>J59*$H$2</f>
        <v>0.68492392000000002</v>
      </c>
      <c r="S59" s="24">
        <f>K59*$H$2</f>
        <v>2.9937072000000002E-2</v>
      </c>
      <c r="T59" s="24">
        <f>L59*$H$2</f>
        <v>1.4514944E-2</v>
      </c>
      <c r="U59" s="5">
        <v>11.6</v>
      </c>
      <c r="V59" s="1">
        <v>69.099999999999994</v>
      </c>
      <c r="W59" s="1">
        <v>0.73</v>
      </c>
      <c r="X59" s="1">
        <v>0.46</v>
      </c>
      <c r="Y59" s="1">
        <v>13.1</v>
      </c>
      <c r="Z59" s="1">
        <v>0.56999999999999995</v>
      </c>
      <c r="AA59" s="6">
        <v>0.28000000000000003</v>
      </c>
    </row>
    <row r="60" spans="1:27">
      <c r="A60" s="3"/>
      <c r="D60" s="1">
        <v>600</v>
      </c>
      <c r="E60" s="1">
        <f t="shared" si="1"/>
        <v>272.15519999999998</v>
      </c>
      <c r="G60" s="32">
        <v>9.17</v>
      </c>
      <c r="H60" s="25">
        <v>5.3</v>
      </c>
      <c r="I60" s="25">
        <v>2.7</v>
      </c>
      <c r="J60" s="25">
        <v>1.57</v>
      </c>
      <c r="K60" s="25">
        <v>6.6000000000000003E-2</v>
      </c>
      <c r="L60" s="33">
        <v>3.3000000000000002E-2</v>
      </c>
      <c r="M60" s="42"/>
      <c r="N60" s="24">
        <f>G60*$H$2</f>
        <v>4.1594386400000003</v>
      </c>
      <c r="O60" s="40"/>
      <c r="P60" s="40"/>
      <c r="Q60" s="24">
        <f>I60*$H$2</f>
        <v>1.2246984000000001</v>
      </c>
      <c r="R60" s="24">
        <f>J60*$H$2</f>
        <v>0.71213944000000007</v>
      </c>
      <c r="S60" s="24">
        <f>K60*$H$2</f>
        <v>2.9937072000000002E-2</v>
      </c>
      <c r="T60" s="24">
        <f>L60*$H$2</f>
        <v>1.4968536000000001E-2</v>
      </c>
      <c r="U60" s="5">
        <v>13.2</v>
      </c>
      <c r="V60" s="1">
        <v>69.2</v>
      </c>
      <c r="W60" s="1">
        <v>0.73</v>
      </c>
      <c r="X60" s="1">
        <v>0.46</v>
      </c>
      <c r="Y60" s="1">
        <v>11.8</v>
      </c>
      <c r="Z60" s="1">
        <v>0.5</v>
      </c>
      <c r="AA60" s="6">
        <v>0.25</v>
      </c>
    </row>
    <row r="61" spans="1:27">
      <c r="A61" s="3"/>
      <c r="D61" s="1">
        <v>700</v>
      </c>
      <c r="E61" s="1">
        <f t="shared" si="1"/>
        <v>317.51440000000002</v>
      </c>
      <c r="G61" s="32">
        <v>10.27</v>
      </c>
      <c r="H61" s="25">
        <v>5.9</v>
      </c>
      <c r="I61" s="25">
        <v>3.1</v>
      </c>
      <c r="J61" s="25">
        <v>1.62</v>
      </c>
      <c r="K61" s="25">
        <v>6.5000000000000002E-2</v>
      </c>
      <c r="L61" s="33">
        <v>3.4000000000000002E-2</v>
      </c>
      <c r="M61" s="42"/>
      <c r="N61" s="24">
        <f>G61*$H$2</f>
        <v>4.6583898399999999</v>
      </c>
      <c r="O61" s="40"/>
      <c r="P61" s="40"/>
      <c r="Q61" s="24">
        <f>I61*$H$2</f>
        <v>1.4061352</v>
      </c>
      <c r="R61" s="24">
        <f>J61*$H$2</f>
        <v>0.73481904000000009</v>
      </c>
      <c r="S61" s="24">
        <f>K61*$H$2</f>
        <v>2.9483479999999999E-2</v>
      </c>
      <c r="T61" s="24">
        <f>L61*$H$2</f>
        <v>1.5422128E-2</v>
      </c>
      <c r="U61" s="5">
        <v>14.9</v>
      </c>
      <c r="V61" s="1">
        <v>69.099999999999994</v>
      </c>
      <c r="W61" s="1">
        <v>0.73</v>
      </c>
      <c r="X61" s="1">
        <v>0.46</v>
      </c>
      <c r="Y61" s="1">
        <v>10.9</v>
      </c>
      <c r="Z61" s="1">
        <v>0.44</v>
      </c>
      <c r="AA61" s="6">
        <v>0.23</v>
      </c>
    </row>
    <row r="62" spans="1:27">
      <c r="A62" s="13"/>
      <c r="B62" s="8"/>
      <c r="C62" s="8"/>
      <c r="D62" s="8">
        <v>800</v>
      </c>
      <c r="E62" s="1">
        <f t="shared" si="1"/>
        <v>362.87360000000001</v>
      </c>
      <c r="F62" s="35"/>
      <c r="G62" s="34">
        <v>11.34</v>
      </c>
      <c r="H62" s="35">
        <v>6.5</v>
      </c>
      <c r="I62" s="35">
        <v>3.4</v>
      </c>
      <c r="J62" s="35">
        <v>1.67</v>
      </c>
      <c r="K62" s="35">
        <v>6.5000000000000002E-2</v>
      </c>
      <c r="L62" s="36">
        <v>3.5000000000000003E-2</v>
      </c>
      <c r="M62" s="42"/>
      <c r="N62" s="24">
        <f>G62*$H$2</f>
        <v>5.1437332800000002</v>
      </c>
      <c r="O62" s="40"/>
      <c r="P62" s="40"/>
      <c r="Q62" s="24">
        <f>I62*$H$2</f>
        <v>1.5422127999999999</v>
      </c>
      <c r="R62" s="24">
        <f>J62*$H$2</f>
        <v>0.75749864</v>
      </c>
      <c r="S62" s="24">
        <f>K62*$H$2</f>
        <v>2.9483479999999999E-2</v>
      </c>
      <c r="T62" s="24">
        <f>L62*$H$2</f>
        <v>1.5875720000000003E-2</v>
      </c>
      <c r="U62" s="7">
        <v>16.399999999999999</v>
      </c>
      <c r="V62" s="8">
        <v>69</v>
      </c>
      <c r="W62" s="8">
        <v>0.73</v>
      </c>
      <c r="X62" s="8">
        <v>0.45</v>
      </c>
      <c r="Y62" s="8">
        <v>10.1</v>
      </c>
      <c r="Z62" s="8">
        <v>0.4</v>
      </c>
      <c r="AA62" s="9">
        <v>0.21</v>
      </c>
    </row>
    <row r="63" spans="1:27">
      <c r="E63" s="1">
        <f t="shared" si="1"/>
        <v>0</v>
      </c>
      <c r="N63" s="24">
        <f>G63*$H$2</f>
        <v>0</v>
      </c>
      <c r="O63" s="40"/>
      <c r="P63" s="40"/>
      <c r="Q63" s="24">
        <f>I63*$H$2</f>
        <v>0</v>
      </c>
      <c r="R63" s="24">
        <f>J63*$H$2</f>
        <v>0</v>
      </c>
      <c r="S63" s="24">
        <f>K63*$H$2</f>
        <v>0</v>
      </c>
      <c r="T63" s="24">
        <f>L63*$H$2</f>
        <v>0</v>
      </c>
    </row>
    <row r="64" spans="1:27">
      <c r="A64" s="11"/>
      <c r="B64" s="10"/>
      <c r="C64" s="10"/>
      <c r="D64" s="10"/>
      <c r="E64" s="1">
        <f t="shared" si="1"/>
        <v>0</v>
      </c>
      <c r="F64" s="37"/>
      <c r="G64" s="26" t="s">
        <v>10</v>
      </c>
      <c r="H64" s="27"/>
      <c r="I64" s="27"/>
      <c r="J64" s="27"/>
      <c r="K64" s="27"/>
      <c r="L64" s="28"/>
      <c r="M64" s="43"/>
      <c r="N64" s="24" t="e">
        <f>G64*$H$2</f>
        <v>#VALUE!</v>
      </c>
      <c r="O64" s="40"/>
      <c r="P64" s="40"/>
      <c r="Q64" s="24">
        <f>I64*$H$2</f>
        <v>0</v>
      </c>
      <c r="R64" s="24">
        <f>J64*$H$2</f>
        <v>0</v>
      </c>
      <c r="S64" s="24">
        <f>K64*$H$2</f>
        <v>0</v>
      </c>
      <c r="T64" s="24">
        <f>L64*$H$2</f>
        <v>0</v>
      </c>
      <c r="U64" s="21" t="s">
        <v>21</v>
      </c>
      <c r="V64" s="21"/>
      <c r="W64" s="21"/>
      <c r="X64" s="21"/>
      <c r="Y64" s="21"/>
      <c r="Z64" s="21"/>
      <c r="AA64" s="22"/>
    </row>
    <row r="65" spans="1:27" ht="26">
      <c r="A65" s="12" t="s">
        <v>40</v>
      </c>
      <c r="B65" s="2" t="s">
        <v>27</v>
      </c>
      <c r="C65" s="2"/>
      <c r="D65" s="2" t="s">
        <v>31</v>
      </c>
      <c r="E65" s="1" t="e">
        <f t="shared" si="1"/>
        <v>#VALUE!</v>
      </c>
      <c r="F65" s="30" t="s">
        <v>30</v>
      </c>
      <c r="G65" s="29" t="s">
        <v>11</v>
      </c>
      <c r="H65" s="30" t="s">
        <v>23</v>
      </c>
      <c r="I65" s="30" t="s">
        <v>24</v>
      </c>
      <c r="J65" s="30" t="s">
        <v>12</v>
      </c>
      <c r="K65" s="30" t="s">
        <v>13</v>
      </c>
      <c r="L65" s="31" t="s">
        <v>14</v>
      </c>
      <c r="M65" s="41"/>
      <c r="N65" s="24" t="e">
        <f>G65*$H$2</f>
        <v>#VALUE!</v>
      </c>
      <c r="O65" s="40"/>
      <c r="P65" s="40"/>
      <c r="Q65" s="24" t="e">
        <f>I65*$H$2</f>
        <v>#VALUE!</v>
      </c>
      <c r="R65" s="24" t="e">
        <f>J65*$H$2</f>
        <v>#VALUE!</v>
      </c>
      <c r="S65" s="24" t="e">
        <f>K65*$H$2</f>
        <v>#VALUE!</v>
      </c>
      <c r="T65" s="24" t="e">
        <f>L65*$H$2</f>
        <v>#VALUE!</v>
      </c>
      <c r="U65" s="3" t="s">
        <v>15</v>
      </c>
      <c r="V65" s="2" t="s">
        <v>16</v>
      </c>
      <c r="W65" s="2" t="s">
        <v>17</v>
      </c>
      <c r="X65" s="2" t="s">
        <v>24</v>
      </c>
      <c r="Y65" s="2" t="s">
        <v>18</v>
      </c>
      <c r="Z65" s="2" t="s">
        <v>19</v>
      </c>
      <c r="AA65" s="4" t="s">
        <v>20</v>
      </c>
    </row>
    <row r="66" spans="1:27">
      <c r="A66" s="3"/>
      <c r="B66" s="1">
        <v>1200</v>
      </c>
      <c r="C66" s="1">
        <f>B66*H2</f>
        <v>544.31039999999996</v>
      </c>
      <c r="D66" s="1">
        <v>400</v>
      </c>
      <c r="E66" s="1">
        <f t="shared" si="1"/>
        <v>181.43680000000001</v>
      </c>
      <c r="F66" s="25">
        <v>1.5</v>
      </c>
      <c r="G66" s="32">
        <v>6.26</v>
      </c>
      <c r="H66" s="25">
        <v>3.9</v>
      </c>
      <c r="I66" s="25">
        <v>1.6</v>
      </c>
      <c r="J66" s="25">
        <v>1.25</v>
      </c>
      <c r="K66" s="25">
        <v>5.1999999999999998E-2</v>
      </c>
      <c r="L66" s="33">
        <v>2.5000000000000001E-2</v>
      </c>
      <c r="M66" s="42"/>
      <c r="N66" s="24">
        <f>G66*$H$2</f>
        <v>2.83948592</v>
      </c>
      <c r="O66" s="40"/>
      <c r="P66" s="40"/>
      <c r="Q66" s="24">
        <f>I66*$H$2</f>
        <v>0.72574720000000004</v>
      </c>
      <c r="R66" s="24">
        <f>J66*$H$2</f>
        <v>0.56698999999999999</v>
      </c>
      <c r="S66" s="24">
        <f>K66*$H$2</f>
        <v>2.3586784E-2</v>
      </c>
      <c r="T66" s="24">
        <f>L66*$H$2</f>
        <v>1.1339800000000001E-2</v>
      </c>
      <c r="U66" s="1">
        <v>10</v>
      </c>
      <c r="V66" s="1">
        <v>62.3</v>
      </c>
      <c r="W66" s="1">
        <v>0.65</v>
      </c>
      <c r="X66" s="1">
        <v>0.39</v>
      </c>
      <c r="Y66" s="1">
        <v>12.4</v>
      </c>
      <c r="Z66" s="1">
        <v>0.52</v>
      </c>
      <c r="AA66" s="6">
        <v>0.25</v>
      </c>
    </row>
    <row r="67" spans="1:27">
      <c r="A67" s="3"/>
      <c r="D67" s="1">
        <v>500</v>
      </c>
      <c r="E67" s="1">
        <f t="shared" si="1"/>
        <v>226.79599999999999</v>
      </c>
      <c r="G67" s="32">
        <v>7.4</v>
      </c>
      <c r="H67" s="25">
        <v>4.5999999999999996</v>
      </c>
      <c r="I67" s="25">
        <v>1.9</v>
      </c>
      <c r="J67" s="25">
        <v>1.32</v>
      </c>
      <c r="K67" s="25">
        <v>5.2999999999999999E-2</v>
      </c>
      <c r="L67" s="33">
        <v>2.7E-2</v>
      </c>
      <c r="M67" s="42"/>
      <c r="N67" s="24">
        <f>G67*$H$2</f>
        <v>3.3565808000000001</v>
      </c>
      <c r="O67" s="40"/>
      <c r="P67" s="40"/>
      <c r="Q67" s="24">
        <f>I67*$H$2</f>
        <v>0.86182479999999995</v>
      </c>
      <c r="R67" s="24">
        <f>J67*$H$2</f>
        <v>0.59874144000000007</v>
      </c>
      <c r="S67" s="24">
        <f>K67*$H$2</f>
        <v>2.4040375999999999E-2</v>
      </c>
      <c r="T67" s="24">
        <f>L67*$H$2</f>
        <v>1.2246983999999999E-2</v>
      </c>
      <c r="U67" s="1">
        <v>11.9</v>
      </c>
      <c r="V67" s="1">
        <v>62.3</v>
      </c>
      <c r="W67" s="1">
        <v>0.65</v>
      </c>
      <c r="X67" s="1">
        <v>0.39</v>
      </c>
      <c r="Y67" s="1">
        <v>11.1</v>
      </c>
      <c r="Z67" s="1">
        <v>0.44</v>
      </c>
      <c r="AA67" s="6">
        <v>0.22</v>
      </c>
    </row>
    <row r="68" spans="1:27">
      <c r="A68" s="3"/>
      <c r="D68" s="1">
        <v>600</v>
      </c>
      <c r="E68" s="1">
        <f t="shared" si="1"/>
        <v>272.15519999999998</v>
      </c>
      <c r="G68" s="32">
        <v>8.5</v>
      </c>
      <c r="H68" s="25">
        <v>5.3</v>
      </c>
      <c r="I68" s="25">
        <v>2.1</v>
      </c>
      <c r="J68" s="25">
        <v>1.38</v>
      </c>
      <c r="K68" s="25">
        <v>5.2999999999999999E-2</v>
      </c>
      <c r="L68" s="33">
        <v>2.8000000000000001E-2</v>
      </c>
      <c r="M68" s="42"/>
      <c r="N68" s="24">
        <f>G68*$H$2</f>
        <v>3.8555320000000002</v>
      </c>
      <c r="O68" s="40"/>
      <c r="P68" s="40"/>
      <c r="Q68" s="24">
        <f>I68*$H$2</f>
        <v>0.95254320000000003</v>
      </c>
      <c r="R68" s="24">
        <f>J68*$H$2</f>
        <v>0.6259569599999999</v>
      </c>
      <c r="S68" s="24">
        <f>K68*$H$2</f>
        <v>2.4040375999999999E-2</v>
      </c>
      <c r="T68" s="24">
        <f>L68*$H$2</f>
        <v>1.2700576E-2</v>
      </c>
      <c r="U68" s="1">
        <v>13.6</v>
      </c>
      <c r="V68" s="1">
        <v>62.4</v>
      </c>
      <c r="W68" s="1">
        <v>0.65</v>
      </c>
      <c r="X68" s="1">
        <v>0.39</v>
      </c>
      <c r="Y68" s="1">
        <v>10.1</v>
      </c>
      <c r="Z68" s="1">
        <v>0.39</v>
      </c>
      <c r="AA68" s="6">
        <v>0.2</v>
      </c>
    </row>
    <row r="69" spans="1:27">
      <c r="A69" s="3"/>
      <c r="D69" s="1">
        <v>700</v>
      </c>
      <c r="E69" s="1">
        <f t="shared" si="1"/>
        <v>317.51440000000002</v>
      </c>
      <c r="G69" s="32">
        <v>9.51</v>
      </c>
      <c r="H69" s="25">
        <v>5.9</v>
      </c>
      <c r="I69" s="25">
        <v>2.4</v>
      </c>
      <c r="J69" s="25">
        <v>1.44</v>
      </c>
      <c r="K69" s="25">
        <v>5.3999999999999999E-2</v>
      </c>
      <c r="L69" s="33">
        <v>2.9000000000000001E-2</v>
      </c>
      <c r="M69" s="42"/>
      <c r="N69" s="24">
        <f>G69*$H$2</f>
        <v>4.3136599200000001</v>
      </c>
      <c r="O69" s="40"/>
      <c r="P69" s="40"/>
      <c r="Q69" s="24">
        <f>I69*$H$2</f>
        <v>1.0886207999999999</v>
      </c>
      <c r="R69" s="24">
        <f>J69*$H$2</f>
        <v>0.65317247999999994</v>
      </c>
      <c r="S69" s="24">
        <f>K69*$H$2</f>
        <v>2.4493967999999998E-2</v>
      </c>
      <c r="T69" s="24">
        <f>L69*$H$2</f>
        <v>1.3154168000000001E-2</v>
      </c>
      <c r="U69" s="1">
        <v>15.3</v>
      </c>
      <c r="V69" s="1">
        <v>62.2</v>
      </c>
      <c r="W69" s="1">
        <v>0.65</v>
      </c>
      <c r="X69" s="1">
        <v>0.38</v>
      </c>
      <c r="Y69" s="1">
        <v>9.4</v>
      </c>
      <c r="Z69" s="1">
        <v>0.35</v>
      </c>
      <c r="AA69" s="6">
        <v>0.19</v>
      </c>
    </row>
    <row r="70" spans="1:27">
      <c r="A70" s="3"/>
      <c r="D70" s="1">
        <v>800</v>
      </c>
      <c r="E70" s="1">
        <f t="shared" si="1"/>
        <v>362.87360000000001</v>
      </c>
      <c r="G70" s="32">
        <v>10.5</v>
      </c>
      <c r="H70" s="25">
        <v>6.5</v>
      </c>
      <c r="I70" s="25">
        <v>2.6</v>
      </c>
      <c r="J70" s="25">
        <v>1.5</v>
      </c>
      <c r="K70" s="25">
        <v>5.3999999999999999E-2</v>
      </c>
      <c r="L70" s="33">
        <v>0.03</v>
      </c>
      <c r="M70" s="42"/>
      <c r="N70" s="24">
        <f>G70*$H$2</f>
        <v>4.7627160000000002</v>
      </c>
      <c r="O70" s="40"/>
      <c r="P70" s="40"/>
      <c r="Q70" s="24">
        <f>I70*$H$2</f>
        <v>1.1793392</v>
      </c>
      <c r="R70" s="24">
        <f>J70*$H$2</f>
        <v>0.68038799999999999</v>
      </c>
      <c r="S70" s="24">
        <f>K70*$H$2</f>
        <v>2.4493967999999998E-2</v>
      </c>
      <c r="T70" s="24">
        <f>L70*$H$2</f>
        <v>1.360776E-2</v>
      </c>
      <c r="U70" s="1">
        <v>16.899999999999999</v>
      </c>
      <c r="V70" s="1">
        <v>62.2</v>
      </c>
      <c r="W70" s="1">
        <v>0.65</v>
      </c>
      <c r="X70" s="1">
        <v>0.38</v>
      </c>
      <c r="Y70" s="1">
        <v>8.9</v>
      </c>
      <c r="Z70" s="1">
        <v>0.32</v>
      </c>
      <c r="AA70" s="6">
        <v>0.18</v>
      </c>
    </row>
    <row r="71" spans="1:27">
      <c r="A71" s="3"/>
      <c r="D71" s="1">
        <v>400</v>
      </c>
      <c r="E71" s="1">
        <f t="shared" si="1"/>
        <v>181.43680000000001</v>
      </c>
      <c r="F71" s="25">
        <v>2</v>
      </c>
      <c r="G71" s="32">
        <v>6.81</v>
      </c>
      <c r="H71" s="25">
        <v>3.9</v>
      </c>
      <c r="I71" s="25">
        <v>2.2000000000000002</v>
      </c>
      <c r="J71" s="25">
        <v>1.46</v>
      </c>
      <c r="K71" s="25">
        <v>6.5000000000000002E-2</v>
      </c>
      <c r="L71" s="33">
        <v>3.1E-2</v>
      </c>
      <c r="M71" s="42"/>
      <c r="N71" s="24">
        <f t="shared" ref="N71:N134" si="2">G71*$H$2</f>
        <v>3.0889615199999998</v>
      </c>
      <c r="O71" s="40"/>
      <c r="P71" s="40"/>
      <c r="Q71" s="24">
        <f t="shared" ref="Q71:Q134" si="3">I71*$H$2</f>
        <v>0.99790240000000008</v>
      </c>
      <c r="R71" s="24">
        <f t="shared" ref="R71:R134" si="4">J71*$H$2</f>
        <v>0.66224432</v>
      </c>
      <c r="S71" s="24">
        <f t="shared" ref="S71:S134" si="5">K71*$H$2</f>
        <v>2.9483479999999999E-2</v>
      </c>
      <c r="T71" s="24">
        <f t="shared" ref="T71:T134" si="6">L71*$H$2</f>
        <v>1.4061351999999999E-2</v>
      </c>
      <c r="U71" s="1">
        <v>10.1</v>
      </c>
      <c r="V71" s="1">
        <v>67.5</v>
      </c>
      <c r="W71" s="1">
        <v>0.73</v>
      </c>
      <c r="X71" s="1">
        <v>0.45</v>
      </c>
      <c r="Y71" s="1">
        <v>14.5</v>
      </c>
      <c r="Z71" s="1">
        <v>0.65</v>
      </c>
      <c r="AA71" s="6">
        <v>0.3</v>
      </c>
    </row>
    <row r="72" spans="1:27">
      <c r="A72" s="3"/>
      <c r="D72" s="1">
        <v>500</v>
      </c>
      <c r="E72" s="1">
        <f t="shared" si="1"/>
        <v>226.79599999999999</v>
      </c>
      <c r="G72" s="32">
        <v>8.0399999999999991</v>
      </c>
      <c r="H72" s="25">
        <v>4.5999999999999996</v>
      </c>
      <c r="I72" s="25">
        <v>2.5</v>
      </c>
      <c r="J72" s="25">
        <v>1.51</v>
      </c>
      <c r="K72" s="25">
        <v>6.4000000000000001E-2</v>
      </c>
      <c r="L72" s="33">
        <v>3.1E-2</v>
      </c>
      <c r="M72" s="42"/>
      <c r="N72" s="24">
        <f t="shared" si="2"/>
        <v>3.6468796799999996</v>
      </c>
      <c r="O72" s="40"/>
      <c r="P72" s="40"/>
      <c r="Q72" s="24">
        <f t="shared" si="3"/>
        <v>1.13398</v>
      </c>
      <c r="R72" s="24">
        <f t="shared" si="4"/>
        <v>0.68492392000000002</v>
      </c>
      <c r="S72" s="24">
        <f t="shared" si="5"/>
        <v>2.9029888E-2</v>
      </c>
      <c r="T72" s="24">
        <f t="shared" si="6"/>
        <v>1.4061351999999999E-2</v>
      </c>
      <c r="U72" s="1">
        <v>11.9</v>
      </c>
      <c r="V72" s="1">
        <v>67.400000000000006</v>
      </c>
      <c r="W72" s="1">
        <v>0.73</v>
      </c>
      <c r="X72" s="1">
        <v>0.45</v>
      </c>
      <c r="Y72" s="1">
        <v>12.7</v>
      </c>
      <c r="Z72" s="1">
        <v>0.54</v>
      </c>
      <c r="AA72" s="6">
        <v>0.26</v>
      </c>
    </row>
    <row r="73" spans="1:27">
      <c r="A73" s="3"/>
      <c r="D73" s="1">
        <v>600</v>
      </c>
      <c r="E73" s="1">
        <f t="shared" si="1"/>
        <v>272.15519999999998</v>
      </c>
      <c r="G73" s="32">
        <v>9.23</v>
      </c>
      <c r="H73" s="25">
        <v>5.3</v>
      </c>
      <c r="I73" s="25">
        <v>2.9</v>
      </c>
      <c r="J73" s="25">
        <v>1.56</v>
      </c>
      <c r="K73" s="25">
        <v>6.4000000000000001E-2</v>
      </c>
      <c r="L73" s="33">
        <v>3.2000000000000001E-2</v>
      </c>
      <c r="M73" s="42"/>
      <c r="N73" s="24">
        <f t="shared" si="2"/>
        <v>4.1866541599999998</v>
      </c>
      <c r="O73" s="40"/>
      <c r="P73" s="40"/>
      <c r="Q73" s="24">
        <f t="shared" si="3"/>
        <v>1.3154167999999999</v>
      </c>
      <c r="R73" s="24">
        <f t="shared" si="4"/>
        <v>0.70760352000000004</v>
      </c>
      <c r="S73" s="24">
        <f t="shared" si="5"/>
        <v>2.9029888E-2</v>
      </c>
      <c r="T73" s="24">
        <f t="shared" si="6"/>
        <v>1.4514944E-2</v>
      </c>
      <c r="U73" s="1">
        <v>13.7</v>
      </c>
      <c r="V73" s="1">
        <v>67.5</v>
      </c>
      <c r="W73" s="1">
        <v>0.73</v>
      </c>
      <c r="X73" s="1">
        <v>0.46</v>
      </c>
      <c r="Y73" s="1">
        <v>11.4</v>
      </c>
      <c r="Z73" s="1">
        <v>0.47</v>
      </c>
      <c r="AA73" s="6">
        <v>0.24</v>
      </c>
    </row>
    <row r="74" spans="1:27">
      <c r="A74" s="3"/>
      <c r="D74" s="1">
        <v>700</v>
      </c>
      <c r="E74" s="1">
        <f t="shared" si="1"/>
        <v>317.51440000000002</v>
      </c>
      <c r="G74" s="32">
        <v>10.34</v>
      </c>
      <c r="H74" s="25">
        <v>5.9</v>
      </c>
      <c r="I74" s="25">
        <v>3.3</v>
      </c>
      <c r="J74" s="25">
        <v>1.6</v>
      </c>
      <c r="K74" s="25">
        <v>6.4000000000000001E-2</v>
      </c>
      <c r="L74" s="33">
        <v>3.3000000000000002E-2</v>
      </c>
      <c r="M74" s="42"/>
      <c r="N74" s="24">
        <f t="shared" si="2"/>
        <v>4.6901412799999997</v>
      </c>
      <c r="O74" s="40"/>
      <c r="P74" s="40"/>
      <c r="Q74" s="24">
        <f t="shared" si="3"/>
        <v>1.4968535999999999</v>
      </c>
      <c r="R74" s="24">
        <f t="shared" si="4"/>
        <v>0.72574720000000004</v>
      </c>
      <c r="S74" s="24">
        <f t="shared" si="5"/>
        <v>2.9029888E-2</v>
      </c>
      <c r="T74" s="24">
        <f t="shared" si="6"/>
        <v>1.4968536000000001E-2</v>
      </c>
      <c r="U74" s="1">
        <v>15.3</v>
      </c>
      <c r="V74" s="1">
        <v>67.400000000000006</v>
      </c>
      <c r="W74" s="1">
        <v>0.73</v>
      </c>
      <c r="X74" s="1">
        <v>0.45</v>
      </c>
      <c r="Y74" s="1">
        <v>10.5</v>
      </c>
      <c r="Z74" s="1">
        <v>0.42</v>
      </c>
      <c r="AA74" s="6">
        <v>0.22</v>
      </c>
    </row>
    <row r="75" spans="1:27">
      <c r="A75" s="3"/>
      <c r="D75" s="1">
        <v>800</v>
      </c>
      <c r="E75" s="1">
        <f t="shared" si="1"/>
        <v>362.87360000000001</v>
      </c>
      <c r="G75" s="32">
        <v>11.41</v>
      </c>
      <c r="H75" s="25">
        <v>6.5</v>
      </c>
      <c r="I75" s="25">
        <v>3.6</v>
      </c>
      <c r="J75" s="25">
        <v>1.65</v>
      </c>
      <c r="K75" s="25">
        <v>6.3E-2</v>
      </c>
      <c r="L75" s="33">
        <v>3.4000000000000002E-2</v>
      </c>
      <c r="M75" s="42"/>
      <c r="N75" s="24">
        <f t="shared" si="2"/>
        <v>5.17548472</v>
      </c>
      <c r="O75" s="40"/>
      <c r="P75" s="40"/>
      <c r="Q75" s="24">
        <f t="shared" si="3"/>
        <v>1.6329312</v>
      </c>
      <c r="R75" s="24">
        <f t="shared" si="4"/>
        <v>0.74842679999999995</v>
      </c>
      <c r="S75" s="24">
        <f t="shared" si="5"/>
        <v>2.8576296000000001E-2</v>
      </c>
      <c r="T75" s="24">
        <f t="shared" si="6"/>
        <v>1.5422128E-2</v>
      </c>
      <c r="U75" s="1">
        <v>17</v>
      </c>
      <c r="V75" s="1">
        <v>67.3</v>
      </c>
      <c r="W75" s="1">
        <v>0.73</v>
      </c>
      <c r="X75" s="1">
        <v>0.45</v>
      </c>
      <c r="Y75" s="1">
        <v>9.6999999999999993</v>
      </c>
      <c r="Z75" s="1">
        <v>0.37</v>
      </c>
      <c r="AA75" s="6">
        <v>0.2</v>
      </c>
    </row>
    <row r="76" spans="1:27">
      <c r="A76" s="3"/>
      <c r="D76" s="1">
        <v>400</v>
      </c>
      <c r="E76" s="1">
        <f t="shared" si="1"/>
        <v>181.43680000000001</v>
      </c>
      <c r="F76" s="25">
        <v>2.5</v>
      </c>
      <c r="G76" s="32">
        <v>7.31</v>
      </c>
      <c r="H76" s="25">
        <v>3.9</v>
      </c>
      <c r="I76" s="25">
        <v>2.7</v>
      </c>
      <c r="J76" s="25">
        <v>1.66</v>
      </c>
      <c r="K76" s="25">
        <v>7.8E-2</v>
      </c>
      <c r="L76" s="33">
        <v>3.5999999999999997E-2</v>
      </c>
      <c r="M76" s="42"/>
      <c r="N76" s="24">
        <f t="shared" si="2"/>
        <v>3.3157575199999996</v>
      </c>
      <c r="O76" s="40"/>
      <c r="P76" s="40"/>
      <c r="Q76" s="24">
        <f t="shared" si="3"/>
        <v>1.2246984000000001</v>
      </c>
      <c r="R76" s="24">
        <f t="shared" si="4"/>
        <v>0.75296271999999997</v>
      </c>
      <c r="S76" s="24">
        <f t="shared" si="5"/>
        <v>3.5380175999999999E-2</v>
      </c>
      <c r="T76" s="24">
        <f t="shared" si="6"/>
        <v>1.6329311999999999E-2</v>
      </c>
      <c r="U76" s="1">
        <v>9.9</v>
      </c>
      <c r="V76" s="1">
        <v>73.5</v>
      </c>
      <c r="W76" s="1">
        <v>0.82</v>
      </c>
      <c r="X76" s="1">
        <v>0.53</v>
      </c>
      <c r="Y76" s="1">
        <v>16.7</v>
      </c>
      <c r="Z76" s="1">
        <v>0.78</v>
      </c>
      <c r="AA76" s="6">
        <v>0.36</v>
      </c>
    </row>
    <row r="77" spans="1:27">
      <c r="A77" s="3"/>
      <c r="D77" s="1">
        <v>500</v>
      </c>
      <c r="E77" s="1">
        <f t="shared" si="1"/>
        <v>226.79599999999999</v>
      </c>
      <c r="G77" s="32">
        <v>8.6300000000000008</v>
      </c>
      <c r="H77" s="25">
        <v>4.5999999999999996</v>
      </c>
      <c r="I77" s="25">
        <v>3.2</v>
      </c>
      <c r="J77" s="25">
        <v>1.7</v>
      </c>
      <c r="K77" s="25">
        <v>7.5999999999999998E-2</v>
      </c>
      <c r="L77" s="33">
        <v>3.5999999999999997E-2</v>
      </c>
      <c r="M77" s="42"/>
      <c r="N77" s="24">
        <f t="shared" si="2"/>
        <v>3.9144989600000004</v>
      </c>
      <c r="O77" s="40"/>
      <c r="P77" s="40"/>
      <c r="Q77" s="24">
        <f t="shared" si="3"/>
        <v>1.4514944000000001</v>
      </c>
      <c r="R77" s="24">
        <f t="shared" si="4"/>
        <v>0.77110639999999997</v>
      </c>
      <c r="S77" s="24">
        <f t="shared" si="5"/>
        <v>3.4472992000000001E-2</v>
      </c>
      <c r="T77" s="24">
        <f t="shared" si="6"/>
        <v>1.6329311999999999E-2</v>
      </c>
      <c r="U77" s="1">
        <v>11.8</v>
      </c>
      <c r="V77" s="1">
        <v>73.5</v>
      </c>
      <c r="W77" s="1">
        <v>0.82</v>
      </c>
      <c r="X77" s="1">
        <v>0.53</v>
      </c>
      <c r="Y77" s="1">
        <v>14.5</v>
      </c>
      <c r="Z77" s="1">
        <v>0.65</v>
      </c>
      <c r="AA77" s="6">
        <v>0.31</v>
      </c>
    </row>
    <row r="78" spans="1:27">
      <c r="A78" s="3"/>
      <c r="D78" s="1">
        <v>600</v>
      </c>
      <c r="E78" s="1">
        <f t="shared" si="1"/>
        <v>272.15519999999998</v>
      </c>
      <c r="G78" s="32">
        <v>9.92</v>
      </c>
      <c r="H78" s="25">
        <v>5.3</v>
      </c>
      <c r="I78" s="25">
        <v>3.7</v>
      </c>
      <c r="J78" s="25">
        <v>1.73</v>
      </c>
      <c r="K78" s="25">
        <v>7.4999999999999997E-2</v>
      </c>
      <c r="L78" s="33">
        <v>3.6999999999999998E-2</v>
      </c>
      <c r="M78" s="42"/>
      <c r="N78" s="24">
        <f t="shared" si="2"/>
        <v>4.4996326399999997</v>
      </c>
      <c r="O78" s="40"/>
      <c r="P78" s="40"/>
      <c r="Q78" s="24">
        <f t="shared" si="3"/>
        <v>1.6782904000000001</v>
      </c>
      <c r="R78" s="24">
        <f t="shared" si="4"/>
        <v>0.78471415999999994</v>
      </c>
      <c r="S78" s="24">
        <f t="shared" si="5"/>
        <v>3.4019399999999998E-2</v>
      </c>
      <c r="T78" s="24">
        <f t="shared" si="6"/>
        <v>1.6782903999999998E-2</v>
      </c>
      <c r="U78" s="1">
        <v>13.5</v>
      </c>
      <c r="V78" s="1">
        <v>73.599999999999994</v>
      </c>
      <c r="W78" s="1">
        <v>0.82</v>
      </c>
      <c r="X78" s="1">
        <v>0.53</v>
      </c>
      <c r="Y78" s="1">
        <v>12.9</v>
      </c>
      <c r="Z78" s="1">
        <v>0.56000000000000005</v>
      </c>
      <c r="AA78" s="6">
        <v>0.27</v>
      </c>
    </row>
    <row r="79" spans="1:27">
      <c r="A79" s="3"/>
      <c r="D79" s="1">
        <v>700</v>
      </c>
      <c r="E79" s="1">
        <f t="shared" si="1"/>
        <v>317.51440000000002</v>
      </c>
      <c r="G79" s="32">
        <v>11.11</v>
      </c>
      <c r="H79" s="25">
        <v>5.9</v>
      </c>
      <c r="I79" s="25">
        <v>4.2</v>
      </c>
      <c r="J79" s="25">
        <v>1.76</v>
      </c>
      <c r="K79" s="25">
        <v>7.3999999999999996E-2</v>
      </c>
      <c r="L79" s="33">
        <v>3.6999999999999998E-2</v>
      </c>
      <c r="M79" s="42"/>
      <c r="N79" s="24">
        <f t="shared" si="2"/>
        <v>5.0394071199999999</v>
      </c>
      <c r="O79" s="40"/>
      <c r="P79" s="40"/>
      <c r="Q79" s="24">
        <f t="shared" si="3"/>
        <v>1.9050864000000001</v>
      </c>
      <c r="R79" s="24">
        <f t="shared" si="4"/>
        <v>0.79832192000000002</v>
      </c>
      <c r="S79" s="24">
        <f t="shared" si="5"/>
        <v>3.3565807999999996E-2</v>
      </c>
      <c r="T79" s="24">
        <f t="shared" si="6"/>
        <v>1.6782903999999998E-2</v>
      </c>
      <c r="U79" s="1">
        <v>15.1</v>
      </c>
      <c r="V79" s="1">
        <v>73.400000000000006</v>
      </c>
      <c r="W79" s="1">
        <v>0.81</v>
      </c>
      <c r="X79" s="1">
        <v>0.53</v>
      </c>
      <c r="Y79" s="1">
        <v>11.7</v>
      </c>
      <c r="Z79" s="1">
        <v>0.49</v>
      </c>
      <c r="AA79" s="6">
        <v>0.25</v>
      </c>
    </row>
    <row r="80" spans="1:27">
      <c r="A80" s="3"/>
      <c r="D80" s="1">
        <v>800</v>
      </c>
      <c r="E80" s="1">
        <f t="shared" si="1"/>
        <v>362.87360000000001</v>
      </c>
      <c r="G80" s="32">
        <v>12.27</v>
      </c>
      <c r="H80" s="25">
        <v>6.5</v>
      </c>
      <c r="I80" s="25">
        <v>4.5999999999999996</v>
      </c>
      <c r="J80" s="25">
        <v>1.8</v>
      </c>
      <c r="K80" s="25">
        <v>7.2999999999999995E-2</v>
      </c>
      <c r="L80" s="33">
        <v>3.7999999999999999E-2</v>
      </c>
      <c r="M80" s="42"/>
      <c r="N80" s="24">
        <f t="shared" si="2"/>
        <v>5.5655738399999999</v>
      </c>
      <c r="O80" s="40"/>
      <c r="P80" s="40"/>
      <c r="Q80" s="24">
        <f t="shared" si="3"/>
        <v>2.0865231999999998</v>
      </c>
      <c r="R80" s="24">
        <f t="shared" si="4"/>
        <v>0.81646560000000001</v>
      </c>
      <c r="S80" s="24">
        <f t="shared" si="5"/>
        <v>3.3112216E-2</v>
      </c>
      <c r="T80" s="24">
        <f t="shared" si="6"/>
        <v>1.7236496E-2</v>
      </c>
      <c r="U80" s="1">
        <v>16.7</v>
      </c>
      <c r="V80" s="1">
        <v>73.3</v>
      </c>
      <c r="W80" s="1">
        <v>0.81</v>
      </c>
      <c r="X80" s="1">
        <v>0.53</v>
      </c>
      <c r="Y80" s="1">
        <v>10.7</v>
      </c>
      <c r="Z80" s="1">
        <v>0.43</v>
      </c>
      <c r="AA80" s="6">
        <v>0.23</v>
      </c>
    </row>
    <row r="81" spans="1:27">
      <c r="A81" s="3"/>
      <c r="D81" s="1">
        <v>400</v>
      </c>
      <c r="E81" s="1">
        <f t="shared" si="1"/>
        <v>181.43680000000001</v>
      </c>
      <c r="F81" s="25">
        <v>3</v>
      </c>
      <c r="G81" s="32">
        <v>7.77</v>
      </c>
      <c r="H81" s="25">
        <v>3.9</v>
      </c>
      <c r="I81" s="25">
        <v>3.4</v>
      </c>
      <c r="J81" s="25">
        <v>1.87</v>
      </c>
      <c r="K81" s="25">
        <v>9.0999999999999998E-2</v>
      </c>
      <c r="L81" s="33">
        <v>4.1000000000000002E-2</v>
      </c>
      <c r="M81" s="42"/>
      <c r="N81" s="24">
        <f t="shared" si="2"/>
        <v>3.5244098399999997</v>
      </c>
      <c r="O81" s="40"/>
      <c r="P81" s="40"/>
      <c r="Q81" s="24">
        <f t="shared" si="3"/>
        <v>1.5422127999999999</v>
      </c>
      <c r="R81" s="24">
        <f t="shared" si="4"/>
        <v>0.84821704000000009</v>
      </c>
      <c r="S81" s="24">
        <f t="shared" si="5"/>
        <v>4.1276871999999999E-2</v>
      </c>
      <c r="T81" s="24">
        <f t="shared" si="6"/>
        <v>1.8597272000000001E-2</v>
      </c>
      <c r="U81" s="1">
        <v>9.5</v>
      </c>
      <c r="V81" s="1">
        <v>81.5</v>
      </c>
      <c r="W81" s="1">
        <v>0.93</v>
      </c>
      <c r="X81" s="1">
        <v>0.63</v>
      </c>
      <c r="Y81" s="1">
        <v>19.600000000000001</v>
      </c>
      <c r="Z81" s="1">
        <v>0.95</v>
      </c>
      <c r="AA81" s="6">
        <v>0.43</v>
      </c>
    </row>
    <row r="82" spans="1:27">
      <c r="A82" s="3"/>
      <c r="D82" s="1">
        <v>500</v>
      </c>
      <c r="E82" s="1">
        <f t="shared" si="1"/>
        <v>226.79599999999999</v>
      </c>
      <c r="G82" s="32">
        <v>9.18</v>
      </c>
      <c r="H82" s="25">
        <v>4.5999999999999996</v>
      </c>
      <c r="I82" s="25">
        <v>4</v>
      </c>
      <c r="J82" s="25">
        <v>1.89</v>
      </c>
      <c r="K82" s="25">
        <v>8.7999999999999995E-2</v>
      </c>
      <c r="L82" s="33">
        <v>4.1000000000000002E-2</v>
      </c>
      <c r="M82" s="42"/>
      <c r="N82" s="24">
        <f t="shared" si="2"/>
        <v>4.1639745599999998</v>
      </c>
      <c r="O82" s="40"/>
      <c r="P82" s="40"/>
      <c r="Q82" s="24">
        <f t="shared" si="3"/>
        <v>1.814368</v>
      </c>
      <c r="R82" s="24">
        <f t="shared" si="4"/>
        <v>0.85728887999999992</v>
      </c>
      <c r="S82" s="24">
        <f t="shared" si="5"/>
        <v>3.9916095999999998E-2</v>
      </c>
      <c r="T82" s="24">
        <f t="shared" si="6"/>
        <v>1.8597272000000001E-2</v>
      </c>
      <c r="U82" s="1">
        <v>11.3</v>
      </c>
      <c r="V82" s="1">
        <v>81.400000000000006</v>
      </c>
      <c r="W82" s="1">
        <v>0.93</v>
      </c>
      <c r="X82" s="1">
        <v>0.63</v>
      </c>
      <c r="Y82" s="1">
        <v>16.7</v>
      </c>
      <c r="Z82" s="1">
        <v>0.78</v>
      </c>
      <c r="AA82" s="6">
        <v>0.36</v>
      </c>
    </row>
    <row r="83" spans="1:27">
      <c r="A83" s="3"/>
      <c r="D83" s="1">
        <v>600</v>
      </c>
      <c r="E83" s="1">
        <f t="shared" si="1"/>
        <v>272.15519999999998</v>
      </c>
      <c r="G83" s="32">
        <v>10.54</v>
      </c>
      <c r="H83" s="25">
        <v>5.3</v>
      </c>
      <c r="I83" s="25">
        <v>4.5</v>
      </c>
      <c r="J83" s="25">
        <v>1.9</v>
      </c>
      <c r="K83" s="25">
        <v>8.5999999999999993E-2</v>
      </c>
      <c r="L83" s="33">
        <v>4.1000000000000002E-2</v>
      </c>
      <c r="M83" s="42"/>
      <c r="N83" s="24">
        <f t="shared" si="2"/>
        <v>4.7808596799999998</v>
      </c>
      <c r="O83" s="40"/>
      <c r="P83" s="40"/>
      <c r="Q83" s="24">
        <f t="shared" si="3"/>
        <v>2.0411640000000002</v>
      </c>
      <c r="R83" s="24">
        <f t="shared" si="4"/>
        <v>0.86182479999999995</v>
      </c>
      <c r="S83" s="24">
        <f t="shared" si="5"/>
        <v>3.9008912E-2</v>
      </c>
      <c r="T83" s="24">
        <f t="shared" si="6"/>
        <v>1.8597272000000001E-2</v>
      </c>
      <c r="U83" s="1">
        <v>12.9</v>
      </c>
      <c r="V83" s="1">
        <v>81.599999999999994</v>
      </c>
      <c r="W83" s="1">
        <v>0.93</v>
      </c>
      <c r="X83" s="1">
        <v>0.63</v>
      </c>
      <c r="Y83" s="1">
        <v>14.7</v>
      </c>
      <c r="Z83" s="1">
        <v>0.66</v>
      </c>
      <c r="AA83" s="6">
        <v>0.32</v>
      </c>
    </row>
    <row r="84" spans="1:27">
      <c r="A84" s="3"/>
      <c r="D84" s="1">
        <v>700</v>
      </c>
      <c r="E84" s="1">
        <f t="shared" si="1"/>
        <v>317.51440000000002</v>
      </c>
      <c r="G84" s="32">
        <v>11.81</v>
      </c>
      <c r="H84" s="25">
        <v>5.9</v>
      </c>
      <c r="I84" s="25">
        <v>5.0999999999999996</v>
      </c>
      <c r="J84" s="25">
        <v>1.92</v>
      </c>
      <c r="K84" s="25">
        <v>8.3000000000000004E-2</v>
      </c>
      <c r="L84" s="33">
        <v>4.1000000000000002E-2</v>
      </c>
      <c r="M84" s="42"/>
      <c r="N84" s="24">
        <f t="shared" si="2"/>
        <v>5.3569215200000002</v>
      </c>
      <c r="O84" s="40"/>
      <c r="P84" s="40"/>
      <c r="Q84" s="24">
        <f t="shared" si="3"/>
        <v>2.3133192</v>
      </c>
      <c r="R84" s="24">
        <f t="shared" si="4"/>
        <v>0.87089664</v>
      </c>
      <c r="S84" s="24">
        <f t="shared" si="5"/>
        <v>3.7648135999999999E-2</v>
      </c>
      <c r="T84" s="24">
        <f t="shared" si="6"/>
        <v>1.8597272000000001E-2</v>
      </c>
      <c r="U84" s="1">
        <v>14.5</v>
      </c>
      <c r="V84" s="1">
        <v>81.2</v>
      </c>
      <c r="W84" s="1">
        <v>0.93</v>
      </c>
      <c r="X84" s="1">
        <v>0.63</v>
      </c>
      <c r="Y84" s="1">
        <v>13.2</v>
      </c>
      <c r="Z84" s="1">
        <v>0.56999999999999995</v>
      </c>
      <c r="AA84" s="6">
        <v>0.28000000000000003</v>
      </c>
    </row>
    <row r="85" spans="1:27">
      <c r="A85" s="13"/>
      <c r="B85" s="8"/>
      <c r="C85" s="8"/>
      <c r="D85" s="8">
        <v>800</v>
      </c>
      <c r="E85" s="1">
        <f t="shared" si="1"/>
        <v>362.87360000000001</v>
      </c>
      <c r="F85" s="35"/>
      <c r="G85" s="34">
        <v>13.04</v>
      </c>
      <c r="H85" s="35">
        <v>6.5</v>
      </c>
      <c r="I85" s="35">
        <v>5.6</v>
      </c>
      <c r="J85" s="35">
        <v>1.94</v>
      </c>
      <c r="K85" s="35">
        <v>8.1000000000000003E-2</v>
      </c>
      <c r="L85" s="36">
        <v>4.1000000000000002E-2</v>
      </c>
      <c r="M85" s="42"/>
      <c r="N85" s="24">
        <f t="shared" si="2"/>
        <v>5.9148396799999992</v>
      </c>
      <c r="O85" s="40"/>
      <c r="P85" s="40"/>
      <c r="Q85" s="24">
        <f t="shared" si="3"/>
        <v>2.5401151999999998</v>
      </c>
      <c r="R85" s="24">
        <f t="shared" si="4"/>
        <v>0.87996847999999994</v>
      </c>
      <c r="S85" s="24">
        <f t="shared" si="5"/>
        <v>3.6740952E-2</v>
      </c>
      <c r="T85" s="24">
        <f t="shared" si="6"/>
        <v>1.8597272000000001E-2</v>
      </c>
      <c r="U85" s="8">
        <v>16.100000000000001</v>
      </c>
      <c r="V85" s="8">
        <v>81.099999999999994</v>
      </c>
      <c r="W85" s="8">
        <v>0.92</v>
      </c>
      <c r="X85" s="8">
        <v>0.62</v>
      </c>
      <c r="Y85" s="8">
        <v>12.1</v>
      </c>
      <c r="Z85" s="8">
        <v>0.51</v>
      </c>
      <c r="AA85" s="9">
        <v>0.26</v>
      </c>
    </row>
    <row r="86" spans="1:27">
      <c r="E86" s="1">
        <f t="shared" si="1"/>
        <v>0</v>
      </c>
      <c r="N86" s="24">
        <f t="shared" si="2"/>
        <v>0</v>
      </c>
      <c r="O86" s="40"/>
      <c r="P86" s="40"/>
      <c r="Q86" s="24">
        <f t="shared" si="3"/>
        <v>0</v>
      </c>
      <c r="R86" s="24">
        <f t="shared" si="4"/>
        <v>0</v>
      </c>
      <c r="S86" s="24">
        <f t="shared" si="5"/>
        <v>0</v>
      </c>
      <c r="T86" s="24">
        <f t="shared" si="6"/>
        <v>0</v>
      </c>
    </row>
    <row r="87" spans="1:27">
      <c r="A87" s="11"/>
      <c r="B87" s="10"/>
      <c r="C87" s="10"/>
      <c r="D87" s="10"/>
      <c r="E87" s="1">
        <f t="shared" si="1"/>
        <v>0</v>
      </c>
      <c r="F87" s="37"/>
      <c r="G87" s="26" t="s">
        <v>10</v>
      </c>
      <c r="H87" s="27"/>
      <c r="I87" s="27"/>
      <c r="J87" s="27"/>
      <c r="K87" s="27"/>
      <c r="L87" s="28"/>
      <c r="M87" s="43"/>
      <c r="N87" s="24" t="e">
        <f t="shared" si="2"/>
        <v>#VALUE!</v>
      </c>
      <c r="O87" s="40"/>
      <c r="P87" s="40"/>
      <c r="Q87" s="24">
        <f t="shared" si="3"/>
        <v>0</v>
      </c>
      <c r="R87" s="24">
        <f t="shared" si="4"/>
        <v>0</v>
      </c>
      <c r="S87" s="24">
        <f t="shared" si="5"/>
        <v>0</v>
      </c>
      <c r="T87" s="24">
        <f t="shared" si="6"/>
        <v>0</v>
      </c>
      <c r="U87" s="21" t="s">
        <v>21</v>
      </c>
      <c r="V87" s="21"/>
      <c r="W87" s="21"/>
      <c r="X87" s="21"/>
      <c r="Y87" s="21"/>
      <c r="Z87" s="21"/>
      <c r="AA87" s="22"/>
    </row>
    <row r="88" spans="1:27" ht="26">
      <c r="A88" s="12" t="s">
        <v>41</v>
      </c>
      <c r="B88" s="2" t="s">
        <v>27</v>
      </c>
      <c r="C88" s="2"/>
      <c r="D88" s="2" t="s">
        <v>31</v>
      </c>
      <c r="E88" s="1" t="e">
        <f t="shared" si="1"/>
        <v>#VALUE!</v>
      </c>
      <c r="F88" s="30" t="s">
        <v>30</v>
      </c>
      <c r="G88" s="29" t="s">
        <v>11</v>
      </c>
      <c r="H88" s="30" t="s">
        <v>23</v>
      </c>
      <c r="I88" s="30" t="s">
        <v>24</v>
      </c>
      <c r="J88" s="30" t="s">
        <v>12</v>
      </c>
      <c r="K88" s="30" t="s">
        <v>13</v>
      </c>
      <c r="L88" s="31" t="s">
        <v>14</v>
      </c>
      <c r="M88" s="41"/>
      <c r="N88" s="24" t="e">
        <f t="shared" si="2"/>
        <v>#VALUE!</v>
      </c>
      <c r="O88" s="40"/>
      <c r="P88" s="40"/>
      <c r="Q88" s="24" t="e">
        <f t="shared" si="3"/>
        <v>#VALUE!</v>
      </c>
      <c r="R88" s="24" t="e">
        <f t="shared" si="4"/>
        <v>#VALUE!</v>
      </c>
      <c r="S88" s="24" t="e">
        <f t="shared" si="5"/>
        <v>#VALUE!</v>
      </c>
      <c r="T88" s="24" t="e">
        <f t="shared" si="6"/>
        <v>#VALUE!</v>
      </c>
      <c r="U88" s="3" t="s">
        <v>15</v>
      </c>
      <c r="V88" s="2" t="s">
        <v>16</v>
      </c>
      <c r="W88" s="2" t="s">
        <v>17</v>
      </c>
      <c r="X88" s="2" t="s">
        <v>24</v>
      </c>
      <c r="Y88" s="2" t="s">
        <v>18</v>
      </c>
      <c r="Z88" s="2" t="s">
        <v>19</v>
      </c>
      <c r="AA88" s="4" t="s">
        <v>20</v>
      </c>
    </row>
    <row r="89" spans="1:27">
      <c r="A89" s="3"/>
      <c r="B89" s="1">
        <v>1200</v>
      </c>
      <c r="C89" s="1">
        <f>B89*H2</f>
        <v>544.31039999999996</v>
      </c>
      <c r="D89" s="1">
        <v>600</v>
      </c>
      <c r="E89" s="1">
        <f t="shared" si="1"/>
        <v>272.15519999999998</v>
      </c>
      <c r="F89" s="25">
        <v>1</v>
      </c>
      <c r="G89" s="32">
        <v>8.39</v>
      </c>
      <c r="H89" s="25">
        <v>5.3</v>
      </c>
      <c r="I89" s="25">
        <v>1.4</v>
      </c>
      <c r="J89" s="25">
        <v>1.26</v>
      </c>
      <c r="K89" s="25">
        <v>4.2000000000000003E-2</v>
      </c>
      <c r="L89" s="33">
        <v>2.3E-2</v>
      </c>
      <c r="M89" s="42"/>
      <c r="N89" s="24">
        <f t="shared" si="2"/>
        <v>3.8056368800000002</v>
      </c>
      <c r="O89" s="40"/>
      <c r="P89" s="40"/>
      <c r="Q89" s="24">
        <f t="shared" si="3"/>
        <v>0.63502879999999995</v>
      </c>
      <c r="R89" s="24">
        <f t="shared" si="4"/>
        <v>0.57152592000000002</v>
      </c>
      <c r="S89" s="24">
        <f t="shared" si="5"/>
        <v>1.9050864000000001E-2</v>
      </c>
      <c r="T89" s="24">
        <f t="shared" si="6"/>
        <v>1.0432616E-2</v>
      </c>
      <c r="U89" s="1">
        <v>15.8</v>
      </c>
      <c r="V89" s="1">
        <v>53.1</v>
      </c>
      <c r="W89" s="1">
        <v>0.51</v>
      </c>
      <c r="X89" s="1">
        <v>0.25</v>
      </c>
      <c r="Y89" s="1">
        <v>8</v>
      </c>
      <c r="Z89" s="1">
        <v>0.26</v>
      </c>
      <c r="AA89" s="6">
        <v>0.15</v>
      </c>
    </row>
    <row r="90" spans="1:27">
      <c r="A90" s="3"/>
      <c r="D90" s="1">
        <v>700</v>
      </c>
      <c r="E90" s="1">
        <f t="shared" si="1"/>
        <v>317.51440000000002</v>
      </c>
      <c r="G90" s="32">
        <v>9.39</v>
      </c>
      <c r="H90" s="25">
        <v>5.9</v>
      </c>
      <c r="I90" s="25">
        <v>1.5</v>
      </c>
      <c r="J90" s="25">
        <v>1.33</v>
      </c>
      <c r="K90" s="25">
        <v>4.2999999999999997E-2</v>
      </c>
      <c r="L90" s="33">
        <v>2.5000000000000001E-2</v>
      </c>
      <c r="M90" s="42"/>
      <c r="N90" s="24">
        <f t="shared" si="2"/>
        <v>4.2592288800000002</v>
      </c>
      <c r="O90" s="40"/>
      <c r="P90" s="40"/>
      <c r="Q90" s="24">
        <f t="shared" si="3"/>
        <v>0.68038799999999999</v>
      </c>
      <c r="R90" s="24">
        <f t="shared" si="4"/>
        <v>0.60327735999999998</v>
      </c>
      <c r="S90" s="24">
        <f t="shared" si="5"/>
        <v>1.9504456E-2</v>
      </c>
      <c r="T90" s="24">
        <f t="shared" si="6"/>
        <v>1.1339800000000001E-2</v>
      </c>
      <c r="U90" s="1">
        <v>17.7</v>
      </c>
      <c r="V90" s="1">
        <v>53</v>
      </c>
      <c r="W90" s="1">
        <v>0.51</v>
      </c>
      <c r="X90" s="1">
        <v>0.25</v>
      </c>
      <c r="Y90" s="1">
        <v>7.5</v>
      </c>
      <c r="Z90" s="1">
        <v>0.24</v>
      </c>
      <c r="AA90" s="6">
        <v>0.14000000000000001</v>
      </c>
    </row>
    <row r="91" spans="1:27">
      <c r="A91" s="3"/>
      <c r="D91" s="1">
        <v>800</v>
      </c>
      <c r="E91" s="1">
        <f t="shared" si="1"/>
        <v>362.87360000000001</v>
      </c>
      <c r="G91" s="32">
        <v>10.36</v>
      </c>
      <c r="H91" s="25">
        <v>6.5</v>
      </c>
      <c r="I91" s="25">
        <v>1.7</v>
      </c>
      <c r="J91" s="25">
        <v>1.4</v>
      </c>
      <c r="K91" s="25">
        <v>4.4999999999999998E-2</v>
      </c>
      <c r="L91" s="33">
        <v>2.7E-2</v>
      </c>
      <c r="M91" s="42"/>
      <c r="N91" s="24">
        <f t="shared" si="2"/>
        <v>4.6992131199999996</v>
      </c>
      <c r="O91" s="40"/>
      <c r="P91" s="40"/>
      <c r="Q91" s="24">
        <f t="shared" si="3"/>
        <v>0.77110639999999997</v>
      </c>
      <c r="R91" s="24">
        <f t="shared" si="4"/>
        <v>0.63502879999999995</v>
      </c>
      <c r="S91" s="24">
        <f t="shared" si="5"/>
        <v>2.0411639999999998E-2</v>
      </c>
      <c r="T91" s="24">
        <f t="shared" si="6"/>
        <v>1.2246983999999999E-2</v>
      </c>
      <c r="U91" s="1">
        <v>19.600000000000001</v>
      </c>
      <c r="V91" s="1">
        <v>53</v>
      </c>
      <c r="W91" s="1">
        <v>0.51</v>
      </c>
      <c r="X91" s="1">
        <v>0.25</v>
      </c>
      <c r="Y91" s="1">
        <v>7.2</v>
      </c>
      <c r="Z91" s="1">
        <v>0.23</v>
      </c>
      <c r="AA91" s="6">
        <v>0.14000000000000001</v>
      </c>
    </row>
    <row r="92" spans="1:27">
      <c r="A92" s="3"/>
      <c r="D92" s="1">
        <v>900</v>
      </c>
      <c r="E92" s="1">
        <f t="shared" si="1"/>
        <v>408.2328</v>
      </c>
      <c r="G92" s="32">
        <v>11.31</v>
      </c>
      <c r="H92" s="25">
        <v>7.1</v>
      </c>
      <c r="I92" s="25">
        <v>1.8</v>
      </c>
      <c r="J92" s="25">
        <v>1.47</v>
      </c>
      <c r="K92" s="25">
        <v>4.5999999999999999E-2</v>
      </c>
      <c r="L92" s="33">
        <v>2.8000000000000001E-2</v>
      </c>
      <c r="M92" s="42"/>
      <c r="N92" s="24">
        <f t="shared" si="2"/>
        <v>5.13012552</v>
      </c>
      <c r="O92" s="40"/>
      <c r="P92" s="40"/>
      <c r="Q92" s="24">
        <f t="shared" si="3"/>
        <v>0.81646560000000001</v>
      </c>
      <c r="R92" s="24">
        <f t="shared" si="4"/>
        <v>0.66678024000000002</v>
      </c>
      <c r="S92" s="24">
        <f t="shared" si="5"/>
        <v>2.0865232000000001E-2</v>
      </c>
      <c r="T92" s="24">
        <f t="shared" si="6"/>
        <v>1.2700576E-2</v>
      </c>
      <c r="U92" s="1">
        <v>21.4</v>
      </c>
      <c r="V92" s="1">
        <v>52.9</v>
      </c>
      <c r="W92" s="1">
        <v>0.51</v>
      </c>
      <c r="X92" s="1">
        <v>0.25</v>
      </c>
      <c r="Y92" s="1">
        <v>6.9</v>
      </c>
      <c r="Z92" s="1">
        <v>0.22</v>
      </c>
      <c r="AA92" s="6">
        <v>0.13</v>
      </c>
    </row>
    <row r="93" spans="1:27">
      <c r="A93" s="3"/>
      <c r="D93" s="15">
        <v>1000</v>
      </c>
      <c r="E93" s="1">
        <f t="shared" si="1"/>
        <v>453.59199999999998</v>
      </c>
      <c r="G93" s="32">
        <v>12.25</v>
      </c>
      <c r="H93" s="25">
        <v>7.7</v>
      </c>
      <c r="I93" s="25">
        <v>2</v>
      </c>
      <c r="J93" s="25">
        <v>1.53</v>
      </c>
      <c r="K93" s="25">
        <v>4.8000000000000001E-2</v>
      </c>
      <c r="L93" s="33">
        <v>0.03</v>
      </c>
      <c r="M93" s="42"/>
      <c r="N93" s="24">
        <f t="shared" si="2"/>
        <v>5.5565020000000001</v>
      </c>
      <c r="O93" s="40"/>
      <c r="P93" s="40"/>
      <c r="Q93" s="24">
        <f t="shared" si="3"/>
        <v>0.90718399999999999</v>
      </c>
      <c r="R93" s="24">
        <f t="shared" si="4"/>
        <v>0.69399575999999996</v>
      </c>
      <c r="S93" s="24">
        <f t="shared" si="5"/>
        <v>2.1772415999999999E-2</v>
      </c>
      <c r="T93" s="24">
        <f t="shared" si="6"/>
        <v>1.360776E-2</v>
      </c>
      <c r="U93" s="1">
        <v>23.1</v>
      </c>
      <c r="V93" s="1">
        <v>52.9</v>
      </c>
      <c r="W93" s="1">
        <v>0.51</v>
      </c>
      <c r="X93" s="1">
        <v>0.25</v>
      </c>
      <c r="Y93" s="1">
        <v>6.6</v>
      </c>
      <c r="Z93" s="1">
        <v>0.21</v>
      </c>
      <c r="AA93" s="6">
        <v>0.13</v>
      </c>
    </row>
    <row r="94" spans="1:27">
      <c r="A94" s="3"/>
      <c r="D94" s="15">
        <v>1100</v>
      </c>
      <c r="E94" s="1">
        <f t="shared" si="1"/>
        <v>498.95119999999997</v>
      </c>
      <c r="G94" s="32">
        <v>13.18</v>
      </c>
      <c r="H94" s="25">
        <v>8.3000000000000007</v>
      </c>
      <c r="I94" s="25">
        <v>2.1</v>
      </c>
      <c r="J94" s="25">
        <v>1.59</v>
      </c>
      <c r="K94" s="25">
        <v>4.9000000000000002E-2</v>
      </c>
      <c r="L94" s="33">
        <v>3.2000000000000001E-2</v>
      </c>
      <c r="M94" s="42"/>
      <c r="N94" s="24">
        <f t="shared" si="2"/>
        <v>5.9783425599999998</v>
      </c>
      <c r="O94" s="40"/>
      <c r="P94" s="40"/>
      <c r="Q94" s="24">
        <f t="shared" si="3"/>
        <v>0.95254320000000003</v>
      </c>
      <c r="R94" s="24">
        <f t="shared" si="4"/>
        <v>0.72121128000000001</v>
      </c>
      <c r="S94" s="24">
        <f t="shared" si="5"/>
        <v>2.2226008000000002E-2</v>
      </c>
      <c r="T94" s="24">
        <f t="shared" si="6"/>
        <v>1.4514944E-2</v>
      </c>
      <c r="U94" s="1">
        <v>24.9</v>
      </c>
      <c r="V94" s="1">
        <v>53</v>
      </c>
      <c r="W94" s="1">
        <v>0.51</v>
      </c>
      <c r="X94" s="1">
        <v>0.25</v>
      </c>
      <c r="Y94" s="1">
        <v>6.4</v>
      </c>
      <c r="Z94" s="1">
        <v>0.2</v>
      </c>
      <c r="AA94" s="6">
        <v>0.13</v>
      </c>
    </row>
    <row r="95" spans="1:27">
      <c r="A95" s="3"/>
      <c r="D95" s="1">
        <v>600</v>
      </c>
      <c r="E95" s="1">
        <f t="shared" si="1"/>
        <v>272.15519999999998</v>
      </c>
      <c r="F95" s="25">
        <v>1.5</v>
      </c>
      <c r="G95" s="32">
        <v>9.18</v>
      </c>
      <c r="H95" s="25">
        <v>5.3</v>
      </c>
      <c r="I95" s="25">
        <v>2.1</v>
      </c>
      <c r="J95" s="25">
        <v>1.47</v>
      </c>
      <c r="K95" s="25">
        <v>5.2999999999999999E-2</v>
      </c>
      <c r="L95" s="33">
        <v>2.8000000000000001E-2</v>
      </c>
      <c r="M95" s="42"/>
      <c r="N95" s="24">
        <f t="shared" si="2"/>
        <v>4.1639745599999998</v>
      </c>
      <c r="O95" s="40"/>
      <c r="P95" s="40"/>
      <c r="Q95" s="24">
        <f t="shared" si="3"/>
        <v>0.95254320000000003</v>
      </c>
      <c r="R95" s="24">
        <f t="shared" si="4"/>
        <v>0.66678024000000002</v>
      </c>
      <c r="S95" s="24">
        <f t="shared" si="5"/>
        <v>2.4040375999999999E-2</v>
      </c>
      <c r="T95" s="24">
        <f t="shared" si="6"/>
        <v>1.2700576E-2</v>
      </c>
      <c r="U95" s="1">
        <v>16.100000000000001</v>
      </c>
      <c r="V95" s="1">
        <v>57.1</v>
      </c>
      <c r="W95" s="1">
        <v>0.56999999999999995</v>
      </c>
      <c r="X95" s="1">
        <v>0.31</v>
      </c>
      <c r="Y95" s="1">
        <v>9.1999999999999993</v>
      </c>
      <c r="Z95" s="1">
        <v>0.33</v>
      </c>
      <c r="AA95" s="6">
        <v>0.17</v>
      </c>
    </row>
    <row r="96" spans="1:27">
      <c r="A96" s="3"/>
      <c r="D96" s="1">
        <v>700</v>
      </c>
      <c r="E96" s="1">
        <f t="shared" si="1"/>
        <v>317.51440000000002</v>
      </c>
      <c r="G96" s="32">
        <v>10.28</v>
      </c>
      <c r="H96" s="25">
        <v>5.9</v>
      </c>
      <c r="I96" s="25">
        <v>2.4</v>
      </c>
      <c r="J96" s="25">
        <v>1.53</v>
      </c>
      <c r="K96" s="25">
        <v>5.3999999999999999E-2</v>
      </c>
      <c r="L96" s="33">
        <v>2.9000000000000001E-2</v>
      </c>
      <c r="M96" s="42"/>
      <c r="N96" s="24">
        <f t="shared" si="2"/>
        <v>4.6629257599999994</v>
      </c>
      <c r="O96" s="40"/>
      <c r="P96" s="40"/>
      <c r="Q96" s="24">
        <f t="shared" si="3"/>
        <v>1.0886207999999999</v>
      </c>
      <c r="R96" s="24">
        <f t="shared" si="4"/>
        <v>0.69399575999999996</v>
      </c>
      <c r="S96" s="24">
        <f t="shared" si="5"/>
        <v>2.4493967999999998E-2</v>
      </c>
      <c r="T96" s="24">
        <f t="shared" si="6"/>
        <v>1.3154168000000001E-2</v>
      </c>
      <c r="U96" s="1">
        <v>18</v>
      </c>
      <c r="V96" s="1">
        <v>57</v>
      </c>
      <c r="W96" s="1">
        <v>0.56999999999999995</v>
      </c>
      <c r="X96" s="1">
        <v>0.31</v>
      </c>
      <c r="Y96" s="1">
        <v>8.5</v>
      </c>
      <c r="Z96" s="1">
        <v>0.3</v>
      </c>
      <c r="AA96" s="6">
        <v>0.16</v>
      </c>
    </row>
    <row r="97" spans="1:27">
      <c r="A97" s="3"/>
      <c r="D97" s="1">
        <v>800</v>
      </c>
      <c r="E97" s="1">
        <f t="shared" si="1"/>
        <v>362.87360000000001</v>
      </c>
      <c r="G97" s="32">
        <v>11.35</v>
      </c>
      <c r="H97" s="25">
        <v>6.5</v>
      </c>
      <c r="I97" s="25">
        <v>2.6</v>
      </c>
      <c r="J97" s="25">
        <v>1.58</v>
      </c>
      <c r="K97" s="25">
        <v>5.3999999999999999E-2</v>
      </c>
      <c r="L97" s="33">
        <v>0.03</v>
      </c>
      <c r="M97" s="42"/>
      <c r="N97" s="24">
        <f t="shared" si="2"/>
        <v>5.1482691999999997</v>
      </c>
      <c r="O97" s="40"/>
      <c r="P97" s="40"/>
      <c r="Q97" s="24">
        <f t="shared" si="3"/>
        <v>1.1793392</v>
      </c>
      <c r="R97" s="24">
        <f t="shared" si="4"/>
        <v>0.71667535999999998</v>
      </c>
      <c r="S97" s="24">
        <f t="shared" si="5"/>
        <v>2.4493967999999998E-2</v>
      </c>
      <c r="T97" s="24">
        <f t="shared" si="6"/>
        <v>1.360776E-2</v>
      </c>
      <c r="U97" s="1">
        <v>19.899999999999999</v>
      </c>
      <c r="V97" s="1">
        <v>56.9</v>
      </c>
      <c r="W97" s="1">
        <v>0.56999999999999995</v>
      </c>
      <c r="X97" s="1">
        <v>0.31</v>
      </c>
      <c r="Y97" s="1">
        <v>7.9</v>
      </c>
      <c r="Z97" s="1">
        <v>0.27</v>
      </c>
      <c r="AA97" s="6">
        <v>0.15</v>
      </c>
    </row>
    <row r="98" spans="1:27">
      <c r="A98" s="3"/>
      <c r="D98" s="1">
        <v>900</v>
      </c>
      <c r="E98" s="1">
        <f t="shared" si="1"/>
        <v>408.2328</v>
      </c>
      <c r="G98" s="32">
        <v>12.4</v>
      </c>
      <c r="H98" s="25">
        <v>7.1</v>
      </c>
      <c r="I98" s="25">
        <v>2.9</v>
      </c>
      <c r="J98" s="25">
        <v>1.63</v>
      </c>
      <c r="K98" s="25">
        <v>5.5E-2</v>
      </c>
      <c r="L98" s="33">
        <v>3.2000000000000001E-2</v>
      </c>
      <c r="M98" s="42"/>
      <c r="N98" s="24">
        <f t="shared" si="2"/>
        <v>5.6245408000000001</v>
      </c>
      <c r="O98" s="40"/>
      <c r="P98" s="40"/>
      <c r="Q98" s="24">
        <f t="shared" si="3"/>
        <v>1.3154167999999999</v>
      </c>
      <c r="R98" s="24">
        <f t="shared" si="4"/>
        <v>0.73935495999999989</v>
      </c>
      <c r="S98" s="24">
        <f t="shared" si="5"/>
        <v>2.4947560000000001E-2</v>
      </c>
      <c r="T98" s="24">
        <f t="shared" si="6"/>
        <v>1.4514944E-2</v>
      </c>
      <c r="U98" s="1">
        <v>21.8</v>
      </c>
      <c r="V98" s="1">
        <v>56.9</v>
      </c>
      <c r="W98" s="1">
        <v>0.56999999999999995</v>
      </c>
      <c r="X98" s="1">
        <v>0.31</v>
      </c>
      <c r="Y98" s="1">
        <v>7.5</v>
      </c>
      <c r="Z98" s="1">
        <v>0.25</v>
      </c>
      <c r="AA98" s="6">
        <v>0.15</v>
      </c>
    </row>
    <row r="99" spans="1:27">
      <c r="A99" s="3"/>
      <c r="D99" s="15">
        <v>1000</v>
      </c>
      <c r="E99" s="1">
        <f t="shared" si="1"/>
        <v>453.59199999999998</v>
      </c>
      <c r="G99" s="32">
        <v>13.43</v>
      </c>
      <c r="H99" s="25">
        <v>7.7</v>
      </c>
      <c r="I99" s="25">
        <v>3.1</v>
      </c>
      <c r="J99" s="25">
        <v>1.68</v>
      </c>
      <c r="K99" s="25">
        <v>5.6000000000000001E-2</v>
      </c>
      <c r="L99" s="33">
        <v>3.3000000000000002E-2</v>
      </c>
      <c r="M99" s="42"/>
      <c r="N99" s="24">
        <f t="shared" si="2"/>
        <v>6.0917405599999999</v>
      </c>
      <c r="O99" s="40"/>
      <c r="P99" s="40"/>
      <c r="Q99" s="24">
        <f t="shared" si="3"/>
        <v>1.4061352</v>
      </c>
      <c r="R99" s="24">
        <f t="shared" si="4"/>
        <v>0.76203455999999992</v>
      </c>
      <c r="S99" s="24">
        <f t="shared" si="5"/>
        <v>2.5401152E-2</v>
      </c>
      <c r="T99" s="24">
        <f t="shared" si="6"/>
        <v>1.4968536000000001E-2</v>
      </c>
      <c r="U99" s="1">
        <v>23.6</v>
      </c>
      <c r="V99" s="1">
        <v>56.9</v>
      </c>
      <c r="W99" s="1">
        <v>0.56999999999999995</v>
      </c>
      <c r="X99" s="1">
        <v>0.31</v>
      </c>
      <c r="Y99" s="1">
        <v>7.1</v>
      </c>
      <c r="Z99" s="1">
        <v>0.24</v>
      </c>
      <c r="AA99" s="6">
        <v>0.14000000000000001</v>
      </c>
    </row>
    <row r="100" spans="1:27">
      <c r="A100" s="3"/>
      <c r="D100" s="15">
        <v>1100</v>
      </c>
      <c r="E100" s="1">
        <f t="shared" si="1"/>
        <v>498.95119999999997</v>
      </c>
      <c r="G100" s="32">
        <v>14.45</v>
      </c>
      <c r="H100" s="25">
        <v>8.3000000000000007</v>
      </c>
      <c r="I100" s="25">
        <v>3.4</v>
      </c>
      <c r="J100" s="25">
        <v>1.73</v>
      </c>
      <c r="K100" s="25">
        <v>5.7000000000000002E-2</v>
      </c>
      <c r="L100" s="33">
        <v>3.5000000000000003E-2</v>
      </c>
      <c r="M100" s="42"/>
      <c r="N100" s="24">
        <f t="shared" si="2"/>
        <v>6.5544043999999992</v>
      </c>
      <c r="O100" s="40"/>
      <c r="P100" s="40"/>
      <c r="Q100" s="24">
        <f t="shared" si="3"/>
        <v>1.5422127999999999</v>
      </c>
      <c r="R100" s="24">
        <f t="shared" si="4"/>
        <v>0.78471415999999994</v>
      </c>
      <c r="S100" s="24">
        <f t="shared" si="5"/>
        <v>2.5854743999999999E-2</v>
      </c>
      <c r="T100" s="24">
        <f t="shared" si="6"/>
        <v>1.5875720000000003E-2</v>
      </c>
      <c r="U100" s="1">
        <v>25.3</v>
      </c>
      <c r="V100" s="1">
        <v>57</v>
      </c>
      <c r="W100" s="1">
        <v>0.56999999999999995</v>
      </c>
      <c r="X100" s="1">
        <v>0.31</v>
      </c>
      <c r="Y100" s="1">
        <v>6.8</v>
      </c>
      <c r="Z100" s="1">
        <v>0.22</v>
      </c>
      <c r="AA100" s="6">
        <v>0.14000000000000001</v>
      </c>
    </row>
    <row r="101" spans="1:27">
      <c r="A101" s="3"/>
      <c r="D101" s="1">
        <v>600</v>
      </c>
      <c r="E101" s="1">
        <f t="shared" si="1"/>
        <v>272.15519999999998</v>
      </c>
      <c r="F101" s="25">
        <v>2</v>
      </c>
      <c r="G101" s="32">
        <v>9.91</v>
      </c>
      <c r="H101" s="25">
        <v>5.3</v>
      </c>
      <c r="I101" s="25">
        <v>2.9</v>
      </c>
      <c r="J101" s="25">
        <v>1.68</v>
      </c>
      <c r="K101" s="25">
        <v>6.4000000000000001E-2</v>
      </c>
      <c r="L101" s="33">
        <v>3.2000000000000001E-2</v>
      </c>
      <c r="M101" s="42"/>
      <c r="N101" s="24">
        <f t="shared" si="2"/>
        <v>4.4950967200000003</v>
      </c>
      <c r="O101" s="40"/>
      <c r="P101" s="40"/>
      <c r="Q101" s="24">
        <f t="shared" si="3"/>
        <v>1.3154167999999999</v>
      </c>
      <c r="R101" s="24">
        <f t="shared" si="4"/>
        <v>0.76203455999999992</v>
      </c>
      <c r="S101" s="24">
        <f t="shared" si="5"/>
        <v>2.9029888E-2</v>
      </c>
      <c r="T101" s="24">
        <f t="shared" si="6"/>
        <v>1.4514944E-2</v>
      </c>
      <c r="U101" s="1">
        <v>16.100000000000001</v>
      </c>
      <c r="V101" s="1">
        <v>61.4</v>
      </c>
      <c r="W101" s="1">
        <v>0.64</v>
      </c>
      <c r="X101" s="1">
        <v>0.37</v>
      </c>
      <c r="Y101" s="1">
        <v>10.4</v>
      </c>
      <c r="Z101" s="1">
        <v>0.4</v>
      </c>
      <c r="AA101" s="6">
        <v>0.2</v>
      </c>
    </row>
    <row r="102" spans="1:27">
      <c r="A102" s="3"/>
      <c r="D102" s="1">
        <v>700</v>
      </c>
      <c r="E102" s="1">
        <f t="shared" si="1"/>
        <v>317.51440000000002</v>
      </c>
      <c r="G102" s="32">
        <v>11.1</v>
      </c>
      <c r="H102" s="25">
        <v>5.9</v>
      </c>
      <c r="I102" s="25">
        <v>3.3</v>
      </c>
      <c r="J102" s="25">
        <v>1.72</v>
      </c>
      <c r="K102" s="25">
        <v>6.4000000000000001E-2</v>
      </c>
      <c r="L102" s="33">
        <v>3.3000000000000002E-2</v>
      </c>
      <c r="M102" s="42"/>
      <c r="N102" s="24">
        <f t="shared" si="2"/>
        <v>5.0348711999999995</v>
      </c>
      <c r="O102" s="40"/>
      <c r="P102" s="40"/>
      <c r="Q102" s="24">
        <f t="shared" si="3"/>
        <v>1.4968535999999999</v>
      </c>
      <c r="R102" s="24">
        <f t="shared" si="4"/>
        <v>0.78017824000000002</v>
      </c>
      <c r="S102" s="24">
        <f t="shared" si="5"/>
        <v>2.9029888E-2</v>
      </c>
      <c r="T102" s="24">
        <f t="shared" si="6"/>
        <v>1.4968536000000001E-2</v>
      </c>
      <c r="U102" s="1">
        <v>18.100000000000001</v>
      </c>
      <c r="V102" s="1">
        <v>61.3</v>
      </c>
      <c r="W102" s="1">
        <v>0.64</v>
      </c>
      <c r="X102" s="1">
        <v>0.37</v>
      </c>
      <c r="Y102" s="1">
        <v>9.5</v>
      </c>
      <c r="Z102" s="1">
        <v>0.35</v>
      </c>
      <c r="AA102" s="6">
        <v>0.18</v>
      </c>
    </row>
    <row r="103" spans="1:27">
      <c r="A103" s="3"/>
      <c r="D103" s="1">
        <v>800</v>
      </c>
      <c r="E103" s="1">
        <f t="shared" si="1"/>
        <v>362.87360000000001</v>
      </c>
      <c r="G103" s="32">
        <v>12.25</v>
      </c>
      <c r="H103" s="25">
        <v>6.5</v>
      </c>
      <c r="I103" s="25">
        <v>3.6</v>
      </c>
      <c r="J103" s="25">
        <v>1.75</v>
      </c>
      <c r="K103" s="25">
        <v>6.3E-2</v>
      </c>
      <c r="L103" s="33">
        <v>3.4000000000000002E-2</v>
      </c>
      <c r="M103" s="42"/>
      <c r="N103" s="24">
        <f t="shared" si="2"/>
        <v>5.5565020000000001</v>
      </c>
      <c r="O103" s="40"/>
      <c r="P103" s="40"/>
      <c r="Q103" s="24">
        <f t="shared" si="3"/>
        <v>1.6329312</v>
      </c>
      <c r="R103" s="24">
        <f t="shared" si="4"/>
        <v>0.79378599999999999</v>
      </c>
      <c r="S103" s="24">
        <f t="shared" si="5"/>
        <v>2.8576296000000001E-2</v>
      </c>
      <c r="T103" s="24">
        <f t="shared" si="6"/>
        <v>1.5422128E-2</v>
      </c>
      <c r="U103" s="1">
        <v>20</v>
      </c>
      <c r="V103" s="1">
        <v>61.2</v>
      </c>
      <c r="W103" s="1">
        <v>0.63</v>
      </c>
      <c r="X103" s="1">
        <v>0.37</v>
      </c>
      <c r="Y103" s="1">
        <v>8.8000000000000007</v>
      </c>
      <c r="Z103" s="1">
        <v>0.32</v>
      </c>
      <c r="AA103" s="6">
        <v>0.17</v>
      </c>
    </row>
    <row r="104" spans="1:27">
      <c r="A104" s="3"/>
      <c r="D104" s="1">
        <v>900</v>
      </c>
      <c r="E104" s="1">
        <f t="shared" si="1"/>
        <v>408.2328</v>
      </c>
      <c r="G104" s="32">
        <v>13.39</v>
      </c>
      <c r="H104" s="25">
        <v>7.1</v>
      </c>
      <c r="I104" s="25">
        <v>4</v>
      </c>
      <c r="J104" s="25">
        <v>1.79</v>
      </c>
      <c r="K104" s="25">
        <v>6.3E-2</v>
      </c>
      <c r="L104" s="33">
        <v>3.5000000000000003E-2</v>
      </c>
      <c r="M104" s="42"/>
      <c r="N104" s="24">
        <f t="shared" si="2"/>
        <v>6.0735968800000002</v>
      </c>
      <c r="O104" s="40"/>
      <c r="P104" s="40"/>
      <c r="Q104" s="24">
        <f t="shared" si="3"/>
        <v>1.814368</v>
      </c>
      <c r="R104" s="24">
        <f t="shared" si="4"/>
        <v>0.81192967999999999</v>
      </c>
      <c r="S104" s="24">
        <f t="shared" si="5"/>
        <v>2.8576296000000001E-2</v>
      </c>
      <c r="T104" s="24">
        <f t="shared" si="6"/>
        <v>1.5875720000000003E-2</v>
      </c>
      <c r="U104" s="1">
        <v>21.9</v>
      </c>
      <c r="V104" s="1">
        <v>61.2</v>
      </c>
      <c r="W104" s="1">
        <v>0.63</v>
      </c>
      <c r="X104" s="1">
        <v>0.37</v>
      </c>
      <c r="Y104" s="1">
        <v>8.1999999999999993</v>
      </c>
      <c r="Z104" s="1">
        <v>0.28999999999999998</v>
      </c>
      <c r="AA104" s="6">
        <v>0.16</v>
      </c>
    </row>
    <row r="105" spans="1:27">
      <c r="A105" s="3"/>
      <c r="D105" s="15">
        <v>1000</v>
      </c>
      <c r="E105" s="1">
        <f t="shared" si="1"/>
        <v>453.59199999999998</v>
      </c>
      <c r="G105" s="32">
        <v>14.5</v>
      </c>
      <c r="H105" s="25">
        <v>7.7</v>
      </c>
      <c r="I105" s="25">
        <v>4.3</v>
      </c>
      <c r="J105" s="25">
        <v>1.82</v>
      </c>
      <c r="K105" s="25">
        <v>6.3E-2</v>
      </c>
      <c r="L105" s="33">
        <v>3.5999999999999997E-2</v>
      </c>
      <c r="M105" s="42"/>
      <c r="N105" s="24">
        <f t="shared" si="2"/>
        <v>6.5770840000000002</v>
      </c>
      <c r="O105" s="40"/>
      <c r="P105" s="40"/>
      <c r="Q105" s="24">
        <f t="shared" si="3"/>
        <v>1.9504455999999999</v>
      </c>
      <c r="R105" s="24">
        <f t="shared" si="4"/>
        <v>0.82553744000000007</v>
      </c>
      <c r="S105" s="24">
        <f t="shared" si="5"/>
        <v>2.8576296000000001E-2</v>
      </c>
      <c r="T105" s="24">
        <f t="shared" si="6"/>
        <v>1.6329311999999999E-2</v>
      </c>
      <c r="U105" s="1">
        <v>23.7</v>
      </c>
      <c r="V105" s="1">
        <v>61.2</v>
      </c>
      <c r="W105" s="1">
        <v>0.63</v>
      </c>
      <c r="X105" s="1">
        <v>0.37</v>
      </c>
      <c r="Y105" s="1">
        <v>7.7</v>
      </c>
      <c r="Z105" s="1">
        <v>0.27</v>
      </c>
      <c r="AA105" s="6">
        <v>0.15</v>
      </c>
    </row>
    <row r="106" spans="1:27">
      <c r="A106" s="3"/>
      <c r="D106" s="15">
        <v>1100</v>
      </c>
      <c r="E106" s="1">
        <f t="shared" si="1"/>
        <v>498.95119999999997</v>
      </c>
      <c r="G106" s="32">
        <v>15.59</v>
      </c>
      <c r="H106" s="25">
        <v>8.3000000000000007</v>
      </c>
      <c r="I106" s="25">
        <v>4.5999999999999996</v>
      </c>
      <c r="J106" s="25">
        <v>1.86</v>
      </c>
      <c r="K106" s="25">
        <v>6.3E-2</v>
      </c>
      <c r="L106" s="33">
        <v>3.6999999999999998E-2</v>
      </c>
      <c r="M106" s="42"/>
      <c r="N106" s="24">
        <f t="shared" si="2"/>
        <v>7.0714992800000003</v>
      </c>
      <c r="O106" s="40"/>
      <c r="P106" s="40"/>
      <c r="Q106" s="24">
        <f t="shared" si="3"/>
        <v>2.0865231999999998</v>
      </c>
      <c r="R106" s="24">
        <f t="shared" si="4"/>
        <v>0.84368112000000006</v>
      </c>
      <c r="S106" s="24">
        <f t="shared" si="5"/>
        <v>2.8576296000000001E-2</v>
      </c>
      <c r="T106" s="24">
        <f t="shared" si="6"/>
        <v>1.6782903999999998E-2</v>
      </c>
      <c r="U106" s="1">
        <v>25.4</v>
      </c>
      <c r="V106" s="1">
        <v>61.3</v>
      </c>
      <c r="W106" s="1">
        <v>0.64</v>
      </c>
      <c r="X106" s="1">
        <v>0.37</v>
      </c>
      <c r="Y106" s="1">
        <v>7.3</v>
      </c>
      <c r="Z106" s="1">
        <v>0.25</v>
      </c>
      <c r="AA106" s="6">
        <v>0.15</v>
      </c>
    </row>
    <row r="107" spans="1:27">
      <c r="A107" s="3"/>
      <c r="D107" s="1">
        <v>600</v>
      </c>
      <c r="E107" s="1">
        <f t="shared" si="1"/>
        <v>272.15519999999998</v>
      </c>
      <c r="F107" s="25">
        <v>2.5</v>
      </c>
      <c r="G107" s="32">
        <v>10.58</v>
      </c>
      <c r="H107" s="25">
        <v>5.3</v>
      </c>
      <c r="I107" s="25">
        <v>3.7</v>
      </c>
      <c r="J107" s="25">
        <v>1.88</v>
      </c>
      <c r="K107" s="25">
        <v>7.4999999999999997E-2</v>
      </c>
      <c r="L107" s="33">
        <v>3.6999999999999998E-2</v>
      </c>
      <c r="M107" s="42"/>
      <c r="N107" s="24">
        <f t="shared" si="2"/>
        <v>4.7990033600000004</v>
      </c>
      <c r="O107" s="40"/>
      <c r="P107" s="40"/>
      <c r="Q107" s="24">
        <f t="shared" si="3"/>
        <v>1.6782904000000001</v>
      </c>
      <c r="R107" s="24">
        <f t="shared" si="4"/>
        <v>0.85275295999999989</v>
      </c>
      <c r="S107" s="24">
        <f t="shared" si="5"/>
        <v>3.4019399999999998E-2</v>
      </c>
      <c r="T107" s="24">
        <f t="shared" si="6"/>
        <v>1.6782903999999998E-2</v>
      </c>
      <c r="U107" s="1">
        <v>16</v>
      </c>
      <c r="V107" s="1">
        <v>66.2</v>
      </c>
      <c r="W107" s="1">
        <v>0.71</v>
      </c>
      <c r="X107" s="1">
        <v>0.44</v>
      </c>
      <c r="Y107" s="1">
        <v>11.8</v>
      </c>
      <c r="Z107" s="1">
        <v>0.47</v>
      </c>
      <c r="AA107" s="6">
        <v>0.23</v>
      </c>
    </row>
    <row r="108" spans="1:27">
      <c r="A108" s="3"/>
      <c r="D108" s="1">
        <v>700</v>
      </c>
      <c r="E108" s="1">
        <f t="shared" si="1"/>
        <v>317.51440000000002</v>
      </c>
      <c r="G108" s="32">
        <v>11.86</v>
      </c>
      <c r="H108" s="25">
        <v>5.9</v>
      </c>
      <c r="I108" s="25">
        <v>4.2</v>
      </c>
      <c r="J108" s="25">
        <v>1.9</v>
      </c>
      <c r="K108" s="25">
        <v>7.3999999999999996E-2</v>
      </c>
      <c r="L108" s="33">
        <v>3.6999999999999998E-2</v>
      </c>
      <c r="M108" s="42"/>
      <c r="N108" s="24">
        <f t="shared" si="2"/>
        <v>5.3796011199999993</v>
      </c>
      <c r="O108" s="40"/>
      <c r="P108" s="40"/>
      <c r="Q108" s="24">
        <f t="shared" si="3"/>
        <v>1.9050864000000001</v>
      </c>
      <c r="R108" s="24">
        <f t="shared" si="4"/>
        <v>0.86182479999999995</v>
      </c>
      <c r="S108" s="24">
        <f t="shared" si="5"/>
        <v>3.3565807999999996E-2</v>
      </c>
      <c r="T108" s="24">
        <f t="shared" si="6"/>
        <v>1.6782903999999998E-2</v>
      </c>
      <c r="U108" s="1">
        <v>18</v>
      </c>
      <c r="V108" s="1">
        <v>66</v>
      </c>
      <c r="W108" s="1">
        <v>0.71</v>
      </c>
      <c r="X108" s="1">
        <v>0.44</v>
      </c>
      <c r="Y108" s="1">
        <v>10.6</v>
      </c>
      <c r="Z108" s="1">
        <v>0.41</v>
      </c>
      <c r="AA108" s="6">
        <v>0.21</v>
      </c>
    </row>
    <row r="109" spans="1:27">
      <c r="A109" s="3"/>
      <c r="D109" s="1">
        <v>800</v>
      </c>
      <c r="E109" s="1">
        <f t="shared" si="1"/>
        <v>362.87360000000001</v>
      </c>
      <c r="G109" s="32">
        <v>13.09</v>
      </c>
      <c r="H109" s="25">
        <v>6.5</v>
      </c>
      <c r="I109" s="25">
        <v>4.5999999999999996</v>
      </c>
      <c r="J109" s="25">
        <v>1.92</v>
      </c>
      <c r="K109" s="25">
        <v>7.2999999999999995E-2</v>
      </c>
      <c r="L109" s="33">
        <v>3.7999999999999999E-2</v>
      </c>
      <c r="M109" s="42"/>
      <c r="N109" s="24">
        <f t="shared" si="2"/>
        <v>5.9375192800000001</v>
      </c>
      <c r="O109" s="40"/>
      <c r="P109" s="40"/>
      <c r="Q109" s="24">
        <f t="shared" si="3"/>
        <v>2.0865231999999998</v>
      </c>
      <c r="R109" s="24">
        <f t="shared" si="4"/>
        <v>0.87089664</v>
      </c>
      <c r="S109" s="24">
        <f t="shared" si="5"/>
        <v>3.3112216E-2</v>
      </c>
      <c r="T109" s="24">
        <f t="shared" si="6"/>
        <v>1.7236496E-2</v>
      </c>
      <c r="U109" s="1">
        <v>19.8</v>
      </c>
      <c r="V109" s="1">
        <v>66</v>
      </c>
      <c r="W109" s="1">
        <v>0.71</v>
      </c>
      <c r="X109" s="1">
        <v>0.43</v>
      </c>
      <c r="Y109" s="1">
        <v>9.6999999999999993</v>
      </c>
      <c r="Z109" s="1">
        <v>0.37</v>
      </c>
      <c r="AA109" s="6">
        <v>0.19</v>
      </c>
    </row>
    <row r="110" spans="1:27">
      <c r="A110" s="3"/>
      <c r="D110" s="1">
        <v>900</v>
      </c>
      <c r="E110" s="1">
        <f t="shared" si="1"/>
        <v>408.2328</v>
      </c>
      <c r="G110" s="32">
        <v>14.3</v>
      </c>
      <c r="H110" s="25">
        <v>7.1</v>
      </c>
      <c r="I110" s="25">
        <v>5</v>
      </c>
      <c r="J110" s="25">
        <v>1.94</v>
      </c>
      <c r="K110" s="25">
        <v>7.1999999999999995E-2</v>
      </c>
      <c r="L110" s="33">
        <v>3.7999999999999999E-2</v>
      </c>
      <c r="M110" s="42"/>
      <c r="N110" s="24">
        <f t="shared" si="2"/>
        <v>6.4863656000000001</v>
      </c>
      <c r="O110" s="40"/>
      <c r="P110" s="40"/>
      <c r="Q110" s="24">
        <f t="shared" si="3"/>
        <v>2.26796</v>
      </c>
      <c r="R110" s="24">
        <f t="shared" si="4"/>
        <v>0.87996847999999994</v>
      </c>
      <c r="S110" s="24">
        <f t="shared" si="5"/>
        <v>3.2658623999999997E-2</v>
      </c>
      <c r="T110" s="24">
        <f t="shared" si="6"/>
        <v>1.7236496E-2</v>
      </c>
      <c r="U110" s="1">
        <v>21.7</v>
      </c>
      <c r="V110" s="1">
        <v>65.900000000000006</v>
      </c>
      <c r="W110" s="1">
        <v>0.71</v>
      </c>
      <c r="X110" s="1">
        <v>0.43</v>
      </c>
      <c r="Y110" s="1">
        <v>9</v>
      </c>
      <c r="Z110" s="1">
        <v>0.33</v>
      </c>
      <c r="AA110" s="6">
        <v>0.18</v>
      </c>
    </row>
    <row r="111" spans="1:27">
      <c r="A111" s="3"/>
      <c r="D111" s="15">
        <v>1000</v>
      </c>
      <c r="E111" s="1">
        <f t="shared" si="1"/>
        <v>453.59199999999998</v>
      </c>
      <c r="G111" s="32">
        <v>15.49</v>
      </c>
      <c r="H111" s="25">
        <v>7.7</v>
      </c>
      <c r="I111" s="25">
        <v>5.5</v>
      </c>
      <c r="J111" s="25">
        <v>1.96</v>
      </c>
      <c r="K111" s="25">
        <v>7.0999999999999994E-2</v>
      </c>
      <c r="L111" s="33">
        <v>3.9E-2</v>
      </c>
      <c r="M111" s="42"/>
      <c r="N111" s="24">
        <f t="shared" si="2"/>
        <v>7.0261400800000002</v>
      </c>
      <c r="O111" s="40"/>
      <c r="P111" s="40"/>
      <c r="Q111" s="24">
        <f t="shared" si="3"/>
        <v>2.4947559999999998</v>
      </c>
      <c r="R111" s="24">
        <f t="shared" si="4"/>
        <v>0.88904032</v>
      </c>
      <c r="S111" s="24">
        <f t="shared" si="5"/>
        <v>3.2205031999999995E-2</v>
      </c>
      <c r="T111" s="24">
        <f t="shared" si="6"/>
        <v>1.7690088E-2</v>
      </c>
      <c r="U111" s="1">
        <v>23.5</v>
      </c>
      <c r="V111" s="1">
        <v>66</v>
      </c>
      <c r="W111" s="1">
        <v>0.71</v>
      </c>
      <c r="X111" s="1">
        <v>0.43</v>
      </c>
      <c r="Y111" s="1">
        <v>8.4</v>
      </c>
      <c r="Z111" s="1">
        <v>0.3</v>
      </c>
      <c r="AA111" s="6">
        <v>0.17</v>
      </c>
    </row>
    <row r="112" spans="1:27">
      <c r="A112" s="3"/>
      <c r="D112" s="15">
        <v>1100</v>
      </c>
      <c r="E112" s="1">
        <f t="shared" si="1"/>
        <v>498.95119999999997</v>
      </c>
      <c r="G112" s="32">
        <v>16.64</v>
      </c>
      <c r="H112" s="25">
        <v>8.3000000000000007</v>
      </c>
      <c r="I112" s="25">
        <v>5.9</v>
      </c>
      <c r="J112" s="25">
        <v>1.98</v>
      </c>
      <c r="K112" s="25">
        <v>7.0000000000000007E-2</v>
      </c>
      <c r="L112" s="33">
        <v>0.04</v>
      </c>
      <c r="M112" s="42"/>
      <c r="N112" s="24">
        <f t="shared" si="2"/>
        <v>7.5477708799999998</v>
      </c>
      <c r="O112" s="40"/>
      <c r="P112" s="40"/>
      <c r="Q112" s="24">
        <f t="shared" si="3"/>
        <v>2.6761927999999999</v>
      </c>
      <c r="R112" s="24">
        <f t="shared" si="4"/>
        <v>0.89811215999999994</v>
      </c>
      <c r="S112" s="24">
        <f t="shared" si="5"/>
        <v>3.1751440000000006E-2</v>
      </c>
      <c r="T112" s="24">
        <f t="shared" si="6"/>
        <v>1.8143679999999999E-2</v>
      </c>
      <c r="U112" s="1">
        <v>25.2</v>
      </c>
      <c r="V112" s="1">
        <v>66</v>
      </c>
      <c r="W112" s="1">
        <v>0.71</v>
      </c>
      <c r="X112" s="1">
        <v>0.44</v>
      </c>
      <c r="Y112" s="1">
        <v>7.9</v>
      </c>
      <c r="Z112" s="1">
        <v>0.28000000000000003</v>
      </c>
      <c r="AA112" s="6">
        <v>0.16</v>
      </c>
    </row>
    <row r="113" spans="1:27">
      <c r="A113" s="3"/>
      <c r="D113" s="1">
        <v>600</v>
      </c>
      <c r="E113" s="1">
        <f t="shared" ref="E113:E176" si="7">D113*$H$2</f>
        <v>272.15519999999998</v>
      </c>
      <c r="F113" s="25">
        <v>3</v>
      </c>
      <c r="G113" s="32">
        <v>11.21</v>
      </c>
      <c r="H113" s="25">
        <v>5.3</v>
      </c>
      <c r="I113" s="25">
        <v>4.5</v>
      </c>
      <c r="J113" s="25">
        <v>2.08</v>
      </c>
      <c r="K113" s="25">
        <v>8.5999999999999993E-2</v>
      </c>
      <c r="L113" s="33">
        <v>4.1000000000000002E-2</v>
      </c>
      <c r="M113" s="42"/>
      <c r="N113" s="24">
        <f t="shared" si="2"/>
        <v>5.08476632</v>
      </c>
      <c r="O113" s="40"/>
      <c r="P113" s="40"/>
      <c r="Q113" s="24">
        <f t="shared" si="3"/>
        <v>2.0411640000000002</v>
      </c>
      <c r="R113" s="24">
        <f t="shared" si="4"/>
        <v>0.94347135999999998</v>
      </c>
      <c r="S113" s="24">
        <f t="shared" si="5"/>
        <v>3.9008912E-2</v>
      </c>
      <c r="T113" s="24">
        <f t="shared" si="6"/>
        <v>1.8597272000000001E-2</v>
      </c>
      <c r="U113" s="1">
        <v>15.6</v>
      </c>
      <c r="V113" s="1">
        <v>71.8</v>
      </c>
      <c r="W113" s="1">
        <v>0.79</v>
      </c>
      <c r="X113" s="1">
        <v>0.51</v>
      </c>
      <c r="Y113" s="1">
        <v>13.3</v>
      </c>
      <c r="Z113" s="1">
        <v>0.55000000000000004</v>
      </c>
      <c r="AA113" s="6">
        <v>0.26</v>
      </c>
    </row>
    <row r="114" spans="1:27">
      <c r="A114" s="3"/>
      <c r="D114" s="1">
        <v>700</v>
      </c>
      <c r="E114" s="1">
        <f t="shared" si="7"/>
        <v>317.51440000000002</v>
      </c>
      <c r="G114" s="32">
        <v>12.56</v>
      </c>
      <c r="H114" s="25">
        <v>5.9</v>
      </c>
      <c r="I114" s="25">
        <v>5.0999999999999996</v>
      </c>
      <c r="J114" s="25">
        <v>2.09</v>
      </c>
      <c r="K114" s="25">
        <v>8.3000000000000004E-2</v>
      </c>
      <c r="L114" s="33">
        <v>4.1000000000000002E-2</v>
      </c>
      <c r="M114" s="42"/>
      <c r="N114" s="24">
        <f t="shared" si="2"/>
        <v>5.6971155200000005</v>
      </c>
      <c r="O114" s="40"/>
      <c r="P114" s="40"/>
      <c r="Q114" s="24">
        <f t="shared" si="3"/>
        <v>2.3133192</v>
      </c>
      <c r="R114" s="24">
        <f t="shared" si="4"/>
        <v>0.9480072799999999</v>
      </c>
      <c r="S114" s="24">
        <f t="shared" si="5"/>
        <v>3.7648135999999999E-2</v>
      </c>
      <c r="T114" s="24">
        <f t="shared" si="6"/>
        <v>1.8597272000000001E-2</v>
      </c>
      <c r="U114" s="1">
        <v>17.600000000000001</v>
      </c>
      <c r="V114" s="1">
        <v>71.599999999999994</v>
      </c>
      <c r="W114" s="1">
        <v>0.79</v>
      </c>
      <c r="X114" s="1">
        <v>0.51</v>
      </c>
      <c r="Y114" s="1">
        <v>11.9</v>
      </c>
      <c r="Z114" s="1">
        <v>0.48</v>
      </c>
      <c r="AA114" s="6">
        <v>0.23</v>
      </c>
    </row>
    <row r="115" spans="1:27">
      <c r="A115" s="3"/>
      <c r="D115" s="1">
        <v>800</v>
      </c>
      <c r="E115" s="1">
        <f t="shared" si="7"/>
        <v>362.87360000000001</v>
      </c>
      <c r="G115" s="32">
        <v>13.88</v>
      </c>
      <c r="H115" s="25">
        <v>6.5</v>
      </c>
      <c r="I115" s="25">
        <v>5.6</v>
      </c>
      <c r="J115" s="25">
        <v>2.09</v>
      </c>
      <c r="K115" s="25">
        <v>8.1000000000000003E-2</v>
      </c>
      <c r="L115" s="33">
        <v>4.1000000000000002E-2</v>
      </c>
      <c r="M115" s="42"/>
      <c r="N115" s="24">
        <f t="shared" si="2"/>
        <v>6.2958569600000001</v>
      </c>
      <c r="O115" s="40"/>
      <c r="P115" s="40"/>
      <c r="Q115" s="24">
        <f t="shared" si="3"/>
        <v>2.5401151999999998</v>
      </c>
      <c r="R115" s="24">
        <f t="shared" si="4"/>
        <v>0.9480072799999999</v>
      </c>
      <c r="S115" s="24">
        <f t="shared" si="5"/>
        <v>3.6740952E-2</v>
      </c>
      <c r="T115" s="24">
        <f t="shared" si="6"/>
        <v>1.8597272000000001E-2</v>
      </c>
      <c r="U115" s="1">
        <v>19.399999999999999</v>
      </c>
      <c r="V115" s="1">
        <v>71.5</v>
      </c>
      <c r="W115" s="1">
        <v>0.79</v>
      </c>
      <c r="X115" s="1">
        <v>0.51</v>
      </c>
      <c r="Y115" s="1">
        <v>10.8</v>
      </c>
      <c r="Z115" s="1">
        <v>0.42</v>
      </c>
      <c r="AA115" s="6">
        <v>0.21</v>
      </c>
    </row>
    <row r="116" spans="1:27">
      <c r="A116" s="3"/>
      <c r="D116" s="1">
        <v>900</v>
      </c>
      <c r="E116" s="1">
        <f t="shared" si="7"/>
        <v>408.2328</v>
      </c>
      <c r="G116" s="32">
        <v>15.16</v>
      </c>
      <c r="H116" s="25">
        <v>7.1</v>
      </c>
      <c r="I116" s="25">
        <v>6.2</v>
      </c>
      <c r="J116" s="25">
        <v>2.09</v>
      </c>
      <c r="K116" s="25">
        <v>0.08</v>
      </c>
      <c r="L116" s="33">
        <v>4.2000000000000003E-2</v>
      </c>
      <c r="M116" s="42"/>
      <c r="N116" s="24">
        <f t="shared" si="2"/>
        <v>6.8764547199999999</v>
      </c>
      <c r="O116" s="40"/>
      <c r="P116" s="40"/>
      <c r="Q116" s="24">
        <f t="shared" si="3"/>
        <v>2.8122704000000001</v>
      </c>
      <c r="R116" s="24">
        <f t="shared" si="4"/>
        <v>0.9480072799999999</v>
      </c>
      <c r="S116" s="24">
        <f t="shared" si="5"/>
        <v>3.6287359999999998E-2</v>
      </c>
      <c r="T116" s="24">
        <f t="shared" si="6"/>
        <v>1.9050864000000001E-2</v>
      </c>
      <c r="U116" s="1">
        <v>21.2</v>
      </c>
      <c r="V116" s="1">
        <v>71.5</v>
      </c>
      <c r="W116" s="1">
        <v>0.79</v>
      </c>
      <c r="X116" s="1">
        <v>0.51</v>
      </c>
      <c r="Y116" s="1">
        <v>9.9</v>
      </c>
      <c r="Z116" s="1">
        <v>0.38</v>
      </c>
      <c r="AA116" s="6">
        <v>0.2</v>
      </c>
    </row>
    <row r="117" spans="1:27">
      <c r="A117" s="3"/>
      <c r="D117" s="15">
        <v>1000</v>
      </c>
      <c r="E117" s="1">
        <f t="shared" si="7"/>
        <v>453.59199999999998</v>
      </c>
      <c r="G117" s="32">
        <v>16.41</v>
      </c>
      <c r="H117" s="25">
        <v>7.7</v>
      </c>
      <c r="I117" s="25">
        <v>6.7</v>
      </c>
      <c r="J117" s="25">
        <v>2.1</v>
      </c>
      <c r="K117" s="25">
        <v>7.8E-2</v>
      </c>
      <c r="L117" s="33">
        <v>4.2000000000000003E-2</v>
      </c>
      <c r="M117" s="42"/>
      <c r="N117" s="24">
        <f t="shared" si="2"/>
        <v>7.4434447199999996</v>
      </c>
      <c r="O117" s="40"/>
      <c r="P117" s="40"/>
      <c r="Q117" s="24">
        <f t="shared" si="3"/>
        <v>3.0390663999999998</v>
      </c>
      <c r="R117" s="24">
        <f t="shared" si="4"/>
        <v>0.95254320000000003</v>
      </c>
      <c r="S117" s="24">
        <f t="shared" si="5"/>
        <v>3.5380175999999999E-2</v>
      </c>
      <c r="T117" s="24">
        <f t="shared" si="6"/>
        <v>1.9050864000000001E-2</v>
      </c>
      <c r="U117" s="1">
        <v>22.9</v>
      </c>
      <c r="V117" s="1">
        <v>71.599999999999994</v>
      </c>
      <c r="W117" s="1">
        <v>0.79</v>
      </c>
      <c r="X117" s="1">
        <v>0.51</v>
      </c>
      <c r="Y117" s="1">
        <v>9.1</v>
      </c>
      <c r="Z117" s="1">
        <v>0.34</v>
      </c>
      <c r="AA117" s="6">
        <v>0.18</v>
      </c>
    </row>
    <row r="118" spans="1:27">
      <c r="A118" s="3"/>
      <c r="D118" s="15">
        <v>1100</v>
      </c>
      <c r="E118" s="1">
        <f t="shared" si="7"/>
        <v>498.95119999999997</v>
      </c>
      <c r="G118" s="32">
        <v>17.64</v>
      </c>
      <c r="H118" s="25">
        <v>8.3000000000000007</v>
      </c>
      <c r="I118" s="25">
        <v>7.2</v>
      </c>
      <c r="J118" s="25">
        <v>2.1</v>
      </c>
      <c r="K118" s="25">
        <v>7.5999999999999998E-2</v>
      </c>
      <c r="L118" s="33">
        <v>4.2999999999999997E-2</v>
      </c>
      <c r="M118" s="42"/>
      <c r="N118" s="24">
        <f t="shared" si="2"/>
        <v>8.0013628800000003</v>
      </c>
      <c r="O118" s="40"/>
      <c r="P118" s="40"/>
      <c r="Q118" s="24">
        <f t="shared" si="3"/>
        <v>3.2658624000000001</v>
      </c>
      <c r="R118" s="24">
        <f t="shared" si="4"/>
        <v>0.95254320000000003</v>
      </c>
      <c r="S118" s="24">
        <f t="shared" si="5"/>
        <v>3.4472992000000001E-2</v>
      </c>
      <c r="T118" s="24">
        <f t="shared" si="6"/>
        <v>1.9504456E-2</v>
      </c>
      <c r="U118" s="1">
        <v>24.6</v>
      </c>
      <c r="V118" s="1">
        <v>71.599999999999994</v>
      </c>
      <c r="W118" s="1">
        <v>0.79</v>
      </c>
      <c r="X118" s="1">
        <v>0.51</v>
      </c>
      <c r="Y118" s="1">
        <v>8.5</v>
      </c>
      <c r="Z118" s="1">
        <v>0.31</v>
      </c>
      <c r="AA118" s="6">
        <v>0.17</v>
      </c>
    </row>
    <row r="119" spans="1:27">
      <c r="A119" s="3"/>
      <c r="D119" s="1">
        <v>600</v>
      </c>
      <c r="E119" s="1">
        <f t="shared" si="7"/>
        <v>272.15519999999998</v>
      </c>
      <c r="F119" s="25">
        <v>3.3</v>
      </c>
      <c r="G119" s="32">
        <v>11.58</v>
      </c>
      <c r="H119" s="25">
        <v>5.3</v>
      </c>
      <c r="I119" s="25">
        <v>5.0999999999999996</v>
      </c>
      <c r="J119" s="25">
        <v>2.2000000000000002</v>
      </c>
      <c r="K119" s="25">
        <v>9.1999999999999998E-2</v>
      </c>
      <c r="L119" s="33">
        <v>4.3999999999999997E-2</v>
      </c>
      <c r="M119" s="42"/>
      <c r="N119" s="24">
        <f t="shared" si="2"/>
        <v>5.2525953599999999</v>
      </c>
      <c r="O119" s="40"/>
      <c r="P119" s="40"/>
      <c r="Q119" s="24">
        <f t="shared" si="3"/>
        <v>2.3133192</v>
      </c>
      <c r="R119" s="24">
        <f t="shared" si="4"/>
        <v>0.99790240000000008</v>
      </c>
      <c r="S119" s="24">
        <f t="shared" si="5"/>
        <v>4.1730464000000002E-2</v>
      </c>
      <c r="T119" s="24">
        <f t="shared" si="6"/>
        <v>1.9958047999999999E-2</v>
      </c>
      <c r="U119" s="1">
        <v>15.3</v>
      </c>
      <c r="V119" s="1">
        <v>75.8</v>
      </c>
      <c r="W119" s="1">
        <v>0.85</v>
      </c>
      <c r="X119" s="1">
        <v>0.56000000000000005</v>
      </c>
      <c r="Y119" s="1">
        <v>14.4</v>
      </c>
      <c r="Z119" s="1">
        <v>0.6</v>
      </c>
      <c r="AA119" s="6">
        <v>0.28000000000000003</v>
      </c>
    </row>
    <row r="120" spans="1:27">
      <c r="A120" s="3"/>
      <c r="D120" s="1">
        <v>700</v>
      </c>
      <c r="E120" s="1">
        <f t="shared" si="7"/>
        <v>317.51440000000002</v>
      </c>
      <c r="G120" s="32">
        <v>12.96</v>
      </c>
      <c r="H120" s="25">
        <v>5.9</v>
      </c>
      <c r="I120" s="25">
        <v>5.7</v>
      </c>
      <c r="J120" s="25">
        <v>2.19</v>
      </c>
      <c r="K120" s="25">
        <v>8.8999999999999996E-2</v>
      </c>
      <c r="L120" s="33">
        <v>4.2999999999999997E-2</v>
      </c>
      <c r="M120" s="42"/>
      <c r="N120" s="24">
        <f t="shared" si="2"/>
        <v>5.8785523200000007</v>
      </c>
      <c r="O120" s="40"/>
      <c r="P120" s="40"/>
      <c r="Q120" s="24">
        <f t="shared" si="3"/>
        <v>2.5854743999999998</v>
      </c>
      <c r="R120" s="24">
        <f t="shared" si="4"/>
        <v>0.99336647999999994</v>
      </c>
      <c r="S120" s="24">
        <f t="shared" si="5"/>
        <v>4.0369688000000001E-2</v>
      </c>
      <c r="T120" s="24">
        <f t="shared" si="6"/>
        <v>1.9504456E-2</v>
      </c>
      <c r="U120" s="1">
        <v>17.2</v>
      </c>
      <c r="V120" s="1">
        <v>75.5</v>
      </c>
      <c r="W120" s="1">
        <v>0.84</v>
      </c>
      <c r="X120" s="1">
        <v>0.56000000000000005</v>
      </c>
      <c r="Y120" s="1">
        <v>12.8</v>
      </c>
      <c r="Z120" s="1">
        <v>0.52</v>
      </c>
      <c r="AA120" s="6">
        <v>0.25</v>
      </c>
    </row>
    <row r="121" spans="1:27">
      <c r="A121" s="3"/>
      <c r="D121" s="1">
        <v>800</v>
      </c>
      <c r="E121" s="1">
        <f t="shared" si="7"/>
        <v>362.87360000000001</v>
      </c>
      <c r="G121" s="32">
        <v>14.32</v>
      </c>
      <c r="H121" s="25">
        <v>6.5</v>
      </c>
      <c r="I121" s="25">
        <v>6.3</v>
      </c>
      <c r="J121" s="25">
        <v>2.19</v>
      </c>
      <c r="K121" s="25">
        <v>8.6999999999999994E-2</v>
      </c>
      <c r="L121" s="33">
        <v>4.3999999999999997E-2</v>
      </c>
      <c r="M121" s="42"/>
      <c r="N121" s="24">
        <f t="shared" si="2"/>
        <v>6.4954374399999999</v>
      </c>
      <c r="O121" s="40"/>
      <c r="P121" s="40"/>
      <c r="Q121" s="24">
        <f t="shared" si="3"/>
        <v>2.8576296000000001</v>
      </c>
      <c r="R121" s="24">
        <f t="shared" si="4"/>
        <v>0.99336647999999994</v>
      </c>
      <c r="S121" s="24">
        <f t="shared" si="5"/>
        <v>3.9462503999999995E-2</v>
      </c>
      <c r="T121" s="24">
        <f t="shared" si="6"/>
        <v>1.9958047999999999E-2</v>
      </c>
      <c r="U121" s="1">
        <v>19</v>
      </c>
      <c r="V121" s="1">
        <v>75.400000000000006</v>
      </c>
      <c r="W121" s="1">
        <v>0.84</v>
      </c>
      <c r="X121" s="1">
        <v>0.56000000000000005</v>
      </c>
      <c r="Y121" s="1">
        <v>11.5</v>
      </c>
      <c r="Z121" s="1">
        <v>0.46</v>
      </c>
      <c r="AA121" s="6">
        <v>0.23</v>
      </c>
    </row>
    <row r="122" spans="1:27">
      <c r="A122" s="3"/>
      <c r="D122" s="1">
        <v>900</v>
      </c>
      <c r="E122" s="1">
        <f t="shared" si="7"/>
        <v>408.2328</v>
      </c>
      <c r="G122" s="32">
        <v>15.65</v>
      </c>
      <c r="H122" s="25">
        <v>7.1</v>
      </c>
      <c r="I122" s="25">
        <v>6.8</v>
      </c>
      <c r="J122" s="25">
        <v>2.1800000000000002</v>
      </c>
      <c r="K122" s="25">
        <v>8.4000000000000005E-2</v>
      </c>
      <c r="L122" s="33">
        <v>4.3999999999999997E-2</v>
      </c>
      <c r="M122" s="42"/>
      <c r="N122" s="24">
        <f t="shared" si="2"/>
        <v>7.0987147999999998</v>
      </c>
      <c r="O122" s="40"/>
      <c r="P122" s="40"/>
      <c r="Q122" s="24">
        <f t="shared" si="3"/>
        <v>3.0844255999999999</v>
      </c>
      <c r="R122" s="24">
        <f t="shared" si="4"/>
        <v>0.98883056000000003</v>
      </c>
      <c r="S122" s="24">
        <f t="shared" si="5"/>
        <v>3.8101728000000001E-2</v>
      </c>
      <c r="T122" s="24">
        <f t="shared" si="6"/>
        <v>1.9958047999999999E-2</v>
      </c>
      <c r="U122" s="1">
        <v>20.7</v>
      </c>
      <c r="V122" s="1">
        <v>75.400000000000006</v>
      </c>
      <c r="W122" s="1">
        <v>0.84</v>
      </c>
      <c r="X122" s="1">
        <v>0.56000000000000005</v>
      </c>
      <c r="Y122" s="1">
        <v>10.5</v>
      </c>
      <c r="Z122" s="1">
        <v>0.41</v>
      </c>
      <c r="AA122" s="6">
        <v>0.21</v>
      </c>
    </row>
    <row r="123" spans="1:27">
      <c r="A123" s="3"/>
      <c r="D123" s="15">
        <v>1000</v>
      </c>
      <c r="E123" s="1">
        <f t="shared" si="7"/>
        <v>453.59199999999998</v>
      </c>
      <c r="G123" s="32">
        <v>16.940000000000001</v>
      </c>
      <c r="H123" s="25">
        <v>7.7</v>
      </c>
      <c r="I123" s="25">
        <v>7.4</v>
      </c>
      <c r="J123" s="25">
        <v>2.17</v>
      </c>
      <c r="K123" s="25">
        <v>8.2000000000000003E-2</v>
      </c>
      <c r="L123" s="33">
        <v>4.3999999999999997E-2</v>
      </c>
      <c r="M123" s="42"/>
      <c r="N123" s="24">
        <f t="shared" si="2"/>
        <v>7.6838484800000009</v>
      </c>
      <c r="O123" s="40"/>
      <c r="P123" s="40"/>
      <c r="Q123" s="24">
        <f t="shared" si="3"/>
        <v>3.3565808000000001</v>
      </c>
      <c r="R123" s="24">
        <f t="shared" si="4"/>
        <v>0.98429464</v>
      </c>
      <c r="S123" s="24">
        <f t="shared" si="5"/>
        <v>3.7194544000000003E-2</v>
      </c>
      <c r="T123" s="24">
        <f t="shared" si="6"/>
        <v>1.9958047999999999E-2</v>
      </c>
      <c r="U123" s="1">
        <v>22.4</v>
      </c>
      <c r="V123" s="1">
        <v>75.5</v>
      </c>
      <c r="W123" s="1">
        <v>0.84</v>
      </c>
      <c r="X123" s="1">
        <v>0.56000000000000005</v>
      </c>
      <c r="Y123" s="1">
        <v>9.6999999999999993</v>
      </c>
      <c r="Z123" s="1">
        <v>0.37</v>
      </c>
      <c r="AA123" s="6">
        <v>0.2</v>
      </c>
    </row>
    <row r="124" spans="1:27">
      <c r="A124" s="13"/>
      <c r="B124" s="8"/>
      <c r="C124" s="8"/>
      <c r="D124" s="16">
        <v>1100</v>
      </c>
      <c r="E124" s="1">
        <f t="shared" si="7"/>
        <v>498.95119999999997</v>
      </c>
      <c r="F124" s="35"/>
      <c r="G124" s="34">
        <v>18.21</v>
      </c>
      <c r="H124" s="35">
        <v>8.3000000000000007</v>
      </c>
      <c r="I124" s="35">
        <v>8</v>
      </c>
      <c r="J124" s="35">
        <v>2.17</v>
      </c>
      <c r="K124" s="35">
        <v>0.08</v>
      </c>
      <c r="L124" s="36">
        <v>4.3999999999999997E-2</v>
      </c>
      <c r="M124" s="42"/>
      <c r="N124" s="24">
        <f t="shared" si="2"/>
        <v>8.2599103199999995</v>
      </c>
      <c r="O124" s="40"/>
      <c r="P124" s="40"/>
      <c r="Q124" s="24">
        <f t="shared" si="3"/>
        <v>3.628736</v>
      </c>
      <c r="R124" s="24">
        <f t="shared" si="4"/>
        <v>0.98429464</v>
      </c>
      <c r="S124" s="24">
        <f t="shared" si="5"/>
        <v>3.6287359999999998E-2</v>
      </c>
      <c r="T124" s="24">
        <f t="shared" si="6"/>
        <v>1.9958047999999999E-2</v>
      </c>
      <c r="U124" s="8">
        <v>24.1</v>
      </c>
      <c r="V124" s="8">
        <v>75.599999999999994</v>
      </c>
      <c r="W124" s="8">
        <v>0.85</v>
      </c>
      <c r="X124" s="8">
        <v>0.56000000000000005</v>
      </c>
      <c r="Y124" s="8">
        <v>9</v>
      </c>
      <c r="Z124" s="8">
        <v>0.33</v>
      </c>
      <c r="AA124" s="9">
        <v>0.18</v>
      </c>
    </row>
    <row r="125" spans="1:27">
      <c r="E125" s="1">
        <f t="shared" si="7"/>
        <v>0</v>
      </c>
      <c r="N125" s="24">
        <f t="shared" si="2"/>
        <v>0</v>
      </c>
      <c r="O125" s="40"/>
      <c r="P125" s="40"/>
      <c r="Q125" s="24">
        <f t="shared" si="3"/>
        <v>0</v>
      </c>
      <c r="R125" s="24">
        <f t="shared" si="4"/>
        <v>0</v>
      </c>
      <c r="S125" s="24">
        <f t="shared" si="5"/>
        <v>0</v>
      </c>
      <c r="T125" s="24">
        <f t="shared" si="6"/>
        <v>0</v>
      </c>
    </row>
    <row r="126" spans="1:27">
      <c r="A126" s="11"/>
      <c r="B126" s="10"/>
      <c r="C126" s="10"/>
      <c r="D126" s="10"/>
      <c r="E126" s="1">
        <f t="shared" si="7"/>
        <v>0</v>
      </c>
      <c r="F126" s="37"/>
      <c r="G126" s="26" t="s">
        <v>10</v>
      </c>
      <c r="H126" s="27"/>
      <c r="I126" s="27"/>
      <c r="J126" s="27"/>
      <c r="K126" s="27"/>
      <c r="L126" s="28"/>
      <c r="M126" s="43"/>
      <c r="N126" s="24" t="e">
        <f t="shared" si="2"/>
        <v>#VALUE!</v>
      </c>
      <c r="O126" s="40"/>
      <c r="P126" s="40"/>
      <c r="Q126" s="24">
        <f t="shared" si="3"/>
        <v>0</v>
      </c>
      <c r="R126" s="24">
        <f t="shared" si="4"/>
        <v>0</v>
      </c>
      <c r="S126" s="24">
        <f t="shared" si="5"/>
        <v>0</v>
      </c>
      <c r="T126" s="24">
        <f t="shared" si="6"/>
        <v>0</v>
      </c>
      <c r="U126" s="21" t="s">
        <v>21</v>
      </c>
      <c r="V126" s="21"/>
      <c r="W126" s="21"/>
      <c r="X126" s="21"/>
      <c r="Y126" s="21"/>
      <c r="Z126" s="21"/>
      <c r="AA126" s="22"/>
    </row>
    <row r="127" spans="1:27" ht="26">
      <c r="A127" s="12" t="s">
        <v>42</v>
      </c>
      <c r="B127" s="2" t="s">
        <v>27</v>
      </c>
      <c r="C127" s="2"/>
      <c r="D127" s="2" t="s">
        <v>31</v>
      </c>
      <c r="E127" s="1" t="e">
        <f t="shared" si="7"/>
        <v>#VALUE!</v>
      </c>
      <c r="F127" s="30" t="s">
        <v>30</v>
      </c>
      <c r="G127" s="29" t="s">
        <v>11</v>
      </c>
      <c r="H127" s="30" t="s">
        <v>23</v>
      </c>
      <c r="I127" s="30" t="s">
        <v>24</v>
      </c>
      <c r="J127" s="30" t="s">
        <v>12</v>
      </c>
      <c r="K127" s="30" t="s">
        <v>13</v>
      </c>
      <c r="L127" s="31" t="s">
        <v>14</v>
      </c>
      <c r="M127" s="41"/>
      <c r="N127" s="24" t="e">
        <f t="shared" si="2"/>
        <v>#VALUE!</v>
      </c>
      <c r="O127" s="40"/>
      <c r="P127" s="40"/>
      <c r="Q127" s="24" t="e">
        <f t="shared" si="3"/>
        <v>#VALUE!</v>
      </c>
      <c r="R127" s="24" t="e">
        <f t="shared" si="4"/>
        <v>#VALUE!</v>
      </c>
      <c r="S127" s="24" t="e">
        <f t="shared" si="5"/>
        <v>#VALUE!</v>
      </c>
      <c r="T127" s="24" t="e">
        <f t="shared" si="6"/>
        <v>#VALUE!</v>
      </c>
      <c r="U127" s="3" t="s">
        <v>15</v>
      </c>
      <c r="V127" s="2" t="s">
        <v>16</v>
      </c>
      <c r="W127" s="2" t="s">
        <v>17</v>
      </c>
      <c r="X127" s="2" t="s">
        <v>24</v>
      </c>
      <c r="Y127" s="2" t="s">
        <v>18</v>
      </c>
      <c r="Z127" s="2" t="s">
        <v>19</v>
      </c>
      <c r="AA127" s="4" t="s">
        <v>20</v>
      </c>
    </row>
    <row r="128" spans="1:27">
      <c r="A128" s="3"/>
      <c r="B128" s="1">
        <v>2200</v>
      </c>
      <c r="C128" s="1">
        <f>B128*H2</f>
        <v>997.90239999999994</v>
      </c>
      <c r="D128" s="1">
        <v>500</v>
      </c>
      <c r="E128" s="1">
        <f t="shared" si="7"/>
        <v>226.79599999999999</v>
      </c>
      <c r="F128" s="25">
        <v>1</v>
      </c>
      <c r="G128" s="32">
        <v>6.73</v>
      </c>
      <c r="H128" s="25">
        <v>5.3</v>
      </c>
      <c r="I128" s="25">
        <v>0.8</v>
      </c>
      <c r="J128" s="25">
        <v>1.1499999999999999</v>
      </c>
      <c r="K128" s="25">
        <v>4.3999999999999997E-2</v>
      </c>
      <c r="L128" s="33">
        <v>2.3E-2</v>
      </c>
      <c r="M128" s="42"/>
      <c r="N128" s="24">
        <f t="shared" si="2"/>
        <v>3.05267416</v>
      </c>
      <c r="O128" s="40"/>
      <c r="P128" s="40"/>
      <c r="Q128" s="24">
        <f t="shared" si="3"/>
        <v>0.36287360000000002</v>
      </c>
      <c r="R128" s="24">
        <f t="shared" si="4"/>
        <v>0.52163079999999995</v>
      </c>
      <c r="S128" s="24">
        <f t="shared" si="5"/>
        <v>1.9958047999999999E-2</v>
      </c>
      <c r="T128" s="24">
        <f t="shared" si="6"/>
        <v>1.0432616E-2</v>
      </c>
      <c r="U128" s="1">
        <v>11.3</v>
      </c>
      <c r="V128" s="1">
        <v>59.6</v>
      </c>
      <c r="W128" s="1">
        <v>0.59</v>
      </c>
      <c r="X128" s="1">
        <v>0.33</v>
      </c>
      <c r="Y128" s="1">
        <v>10.199999999999999</v>
      </c>
      <c r="Z128" s="1">
        <v>0.39</v>
      </c>
      <c r="AA128" s="6">
        <v>0.21</v>
      </c>
    </row>
    <row r="129" spans="1:27">
      <c r="A129" s="3"/>
      <c r="D129" s="1">
        <v>600</v>
      </c>
      <c r="E129" s="1">
        <f t="shared" si="7"/>
        <v>272.15519999999998</v>
      </c>
      <c r="G129" s="32">
        <v>7.73</v>
      </c>
      <c r="H129" s="25">
        <v>6.1</v>
      </c>
      <c r="I129" s="25">
        <v>0.8</v>
      </c>
      <c r="J129" s="25">
        <v>1.24</v>
      </c>
      <c r="K129" s="25">
        <v>4.5999999999999999E-2</v>
      </c>
      <c r="L129" s="33">
        <v>2.5000000000000001E-2</v>
      </c>
      <c r="M129" s="42"/>
      <c r="N129" s="24">
        <f t="shared" si="2"/>
        <v>3.50626616</v>
      </c>
      <c r="O129" s="40"/>
      <c r="P129" s="40"/>
      <c r="Q129" s="24">
        <f t="shared" si="3"/>
        <v>0.36287360000000002</v>
      </c>
      <c r="R129" s="24">
        <f t="shared" si="4"/>
        <v>0.56245407999999997</v>
      </c>
      <c r="S129" s="24">
        <f t="shared" si="5"/>
        <v>2.0865232000000001E-2</v>
      </c>
      <c r="T129" s="24">
        <f t="shared" si="6"/>
        <v>1.1339800000000001E-2</v>
      </c>
      <c r="U129" s="1">
        <v>12.9</v>
      </c>
      <c r="V129" s="1">
        <v>59.7</v>
      </c>
      <c r="W129" s="1">
        <v>0.59</v>
      </c>
      <c r="X129" s="1">
        <v>0.33</v>
      </c>
      <c r="Y129" s="1">
        <v>9.5</v>
      </c>
      <c r="Z129" s="1">
        <v>0.36</v>
      </c>
      <c r="AA129" s="6">
        <v>0.19</v>
      </c>
    </row>
    <row r="130" spans="1:27">
      <c r="A130" s="3"/>
      <c r="D130" s="1">
        <v>700</v>
      </c>
      <c r="E130" s="1">
        <f t="shared" si="7"/>
        <v>317.51440000000002</v>
      </c>
      <c r="G130" s="32">
        <v>8.65</v>
      </c>
      <c r="H130" s="25">
        <v>6.8</v>
      </c>
      <c r="I130" s="25">
        <v>1</v>
      </c>
      <c r="J130" s="25">
        <v>1.32</v>
      </c>
      <c r="K130" s="25">
        <v>4.8000000000000001E-2</v>
      </c>
      <c r="L130" s="33">
        <v>2.7E-2</v>
      </c>
      <c r="M130" s="42"/>
      <c r="N130" s="24">
        <f t="shared" si="2"/>
        <v>3.9235708000000002</v>
      </c>
      <c r="O130" s="40"/>
      <c r="P130" s="40"/>
      <c r="Q130" s="24">
        <f t="shared" si="3"/>
        <v>0.453592</v>
      </c>
      <c r="R130" s="24">
        <f t="shared" si="4"/>
        <v>0.59874144000000007</v>
      </c>
      <c r="S130" s="24">
        <f t="shared" si="5"/>
        <v>2.1772415999999999E-2</v>
      </c>
      <c r="T130" s="24">
        <f t="shared" si="6"/>
        <v>1.2246983999999999E-2</v>
      </c>
      <c r="U130" s="1">
        <v>14.5</v>
      </c>
      <c r="V130" s="1">
        <v>59.6</v>
      </c>
      <c r="W130" s="1">
        <v>0.59</v>
      </c>
      <c r="X130" s="1">
        <v>0.33</v>
      </c>
      <c r="Y130" s="1">
        <v>9.1</v>
      </c>
      <c r="Z130" s="1">
        <v>0.33</v>
      </c>
      <c r="AA130" s="6">
        <v>0.19</v>
      </c>
    </row>
    <row r="131" spans="1:27">
      <c r="A131" s="3"/>
      <c r="D131" s="1">
        <v>800</v>
      </c>
      <c r="E131" s="1">
        <f t="shared" si="7"/>
        <v>362.87360000000001</v>
      </c>
      <c r="G131" s="32">
        <v>9.5500000000000007</v>
      </c>
      <c r="H131" s="25">
        <v>7.5</v>
      </c>
      <c r="I131" s="25">
        <v>1.1000000000000001</v>
      </c>
      <c r="J131" s="25">
        <v>1.4</v>
      </c>
      <c r="K131" s="25">
        <v>0.05</v>
      </c>
      <c r="L131" s="33">
        <v>2.9000000000000001E-2</v>
      </c>
      <c r="M131" s="42"/>
      <c r="N131" s="24">
        <f t="shared" si="2"/>
        <v>4.3318036000000006</v>
      </c>
      <c r="O131" s="40"/>
      <c r="P131" s="40"/>
      <c r="Q131" s="24">
        <f t="shared" si="3"/>
        <v>0.49895120000000004</v>
      </c>
      <c r="R131" s="24">
        <f t="shared" si="4"/>
        <v>0.63502879999999995</v>
      </c>
      <c r="S131" s="24">
        <f t="shared" si="5"/>
        <v>2.2679600000000001E-2</v>
      </c>
      <c r="T131" s="24">
        <f t="shared" si="6"/>
        <v>1.3154168000000001E-2</v>
      </c>
      <c r="U131" s="1">
        <v>16</v>
      </c>
      <c r="V131" s="1">
        <v>59.5</v>
      </c>
      <c r="W131" s="1">
        <v>0.59</v>
      </c>
      <c r="X131" s="1">
        <v>0.33</v>
      </c>
      <c r="Y131" s="1">
        <v>8.6999999999999993</v>
      </c>
      <c r="Z131" s="1">
        <v>0.31</v>
      </c>
      <c r="AA131" s="6">
        <v>0.18</v>
      </c>
    </row>
    <row r="132" spans="1:27">
      <c r="A132" s="3"/>
      <c r="D132" s="1">
        <v>900</v>
      </c>
      <c r="E132" s="1">
        <f t="shared" si="7"/>
        <v>408.2328</v>
      </c>
      <c r="G132" s="32">
        <v>10.43</v>
      </c>
      <c r="H132" s="25">
        <v>8.1999999999999993</v>
      </c>
      <c r="I132" s="25">
        <v>1.2</v>
      </c>
      <c r="J132" s="25">
        <v>1.48</v>
      </c>
      <c r="K132" s="25">
        <v>5.1999999999999998E-2</v>
      </c>
      <c r="L132" s="33">
        <v>3.1E-2</v>
      </c>
      <c r="M132" s="42"/>
      <c r="N132" s="24">
        <f t="shared" si="2"/>
        <v>4.7309645599999994</v>
      </c>
      <c r="O132" s="40"/>
      <c r="P132" s="40"/>
      <c r="Q132" s="24">
        <f t="shared" si="3"/>
        <v>0.54431039999999997</v>
      </c>
      <c r="R132" s="24">
        <f t="shared" si="4"/>
        <v>0.67131615999999994</v>
      </c>
      <c r="S132" s="24">
        <f t="shared" si="5"/>
        <v>2.3586784E-2</v>
      </c>
      <c r="T132" s="24">
        <f t="shared" si="6"/>
        <v>1.4061351999999999E-2</v>
      </c>
      <c r="U132" s="1">
        <v>17.5</v>
      </c>
      <c r="V132" s="1">
        <v>59.5</v>
      </c>
      <c r="W132" s="1">
        <v>0.59</v>
      </c>
      <c r="X132" s="1">
        <v>0.33</v>
      </c>
      <c r="Y132" s="1">
        <v>8.5</v>
      </c>
      <c r="Z132" s="1">
        <v>0.3</v>
      </c>
      <c r="AA132" s="6">
        <v>0.18</v>
      </c>
    </row>
    <row r="133" spans="1:27">
      <c r="A133" s="3"/>
      <c r="D133" s="1">
        <v>500</v>
      </c>
      <c r="E133" s="1">
        <f t="shared" si="7"/>
        <v>226.79599999999999</v>
      </c>
      <c r="F133" s="25">
        <v>1.5</v>
      </c>
      <c r="G133" s="32">
        <v>7.2</v>
      </c>
      <c r="H133" s="25">
        <v>5.3</v>
      </c>
      <c r="I133" s="25">
        <v>1.2</v>
      </c>
      <c r="J133" s="25">
        <v>1.36</v>
      </c>
      <c r="K133" s="25">
        <v>5.8999999999999997E-2</v>
      </c>
      <c r="L133" s="33">
        <v>2.9000000000000001E-2</v>
      </c>
      <c r="M133" s="42"/>
      <c r="N133" s="24">
        <f t="shared" si="2"/>
        <v>3.2658624000000001</v>
      </c>
      <c r="O133" s="40"/>
      <c r="P133" s="40"/>
      <c r="Q133" s="24">
        <f t="shared" si="3"/>
        <v>0.54431039999999997</v>
      </c>
      <c r="R133" s="24">
        <f t="shared" si="4"/>
        <v>0.61688512000000006</v>
      </c>
      <c r="S133" s="24">
        <f t="shared" si="5"/>
        <v>2.6761927999999997E-2</v>
      </c>
      <c r="T133" s="24">
        <f t="shared" si="6"/>
        <v>1.3154168000000001E-2</v>
      </c>
      <c r="U133" s="1">
        <v>11.5</v>
      </c>
      <c r="V133" s="1">
        <v>62.8</v>
      </c>
      <c r="W133" s="1">
        <v>0.64</v>
      </c>
      <c r="X133" s="1">
        <v>0.37</v>
      </c>
      <c r="Y133" s="1">
        <v>11.9</v>
      </c>
      <c r="Z133" s="1">
        <v>0.51</v>
      </c>
      <c r="AA133" s="6">
        <v>0.25</v>
      </c>
    </row>
    <row r="134" spans="1:27">
      <c r="A134" s="3"/>
      <c r="D134" s="1">
        <v>600</v>
      </c>
      <c r="E134" s="1">
        <f t="shared" si="7"/>
        <v>272.15519999999998</v>
      </c>
      <c r="G134" s="32">
        <v>8.27</v>
      </c>
      <c r="H134" s="25">
        <v>6.1</v>
      </c>
      <c r="I134" s="25">
        <v>1.4</v>
      </c>
      <c r="J134" s="25">
        <v>1.44</v>
      </c>
      <c r="K134" s="25">
        <v>0.06</v>
      </c>
      <c r="L134" s="33">
        <v>3.1E-2</v>
      </c>
      <c r="M134" s="42"/>
      <c r="N134" s="24">
        <f t="shared" si="2"/>
        <v>3.7512058399999999</v>
      </c>
      <c r="O134" s="40"/>
      <c r="P134" s="40"/>
      <c r="Q134" s="24">
        <f t="shared" si="3"/>
        <v>0.63502879999999995</v>
      </c>
      <c r="R134" s="24">
        <f t="shared" si="4"/>
        <v>0.65317247999999994</v>
      </c>
      <c r="S134" s="24">
        <f t="shared" si="5"/>
        <v>2.721552E-2</v>
      </c>
      <c r="T134" s="24">
        <f t="shared" si="6"/>
        <v>1.4061351999999999E-2</v>
      </c>
      <c r="U134" s="1">
        <v>13.2</v>
      </c>
      <c r="V134" s="1">
        <v>62.9</v>
      </c>
      <c r="W134" s="1">
        <v>0.64</v>
      </c>
      <c r="X134" s="1">
        <v>0.37</v>
      </c>
      <c r="Y134" s="1">
        <v>10.9</v>
      </c>
      <c r="Z134" s="1">
        <v>0.46</v>
      </c>
      <c r="AA134" s="6">
        <v>0.23</v>
      </c>
    </row>
    <row r="135" spans="1:27">
      <c r="A135" s="3"/>
      <c r="D135" s="1">
        <v>700</v>
      </c>
      <c r="E135" s="1">
        <f t="shared" si="7"/>
        <v>317.51440000000002</v>
      </c>
      <c r="G135" s="32">
        <v>9.26</v>
      </c>
      <c r="H135" s="25">
        <v>6.8</v>
      </c>
      <c r="I135" s="25">
        <v>1.5</v>
      </c>
      <c r="J135" s="25">
        <v>1.52</v>
      </c>
      <c r="K135" s="25">
        <v>6.2E-2</v>
      </c>
      <c r="L135" s="33">
        <v>3.2000000000000001E-2</v>
      </c>
      <c r="M135" s="42"/>
      <c r="N135" s="24">
        <f t="shared" ref="N135:N198" si="8">G135*$H$2</f>
        <v>4.20026192</v>
      </c>
      <c r="O135" s="40"/>
      <c r="P135" s="40"/>
      <c r="Q135" s="24">
        <f t="shared" ref="Q135:Q198" si="9">I135*$H$2</f>
        <v>0.68038799999999999</v>
      </c>
      <c r="R135" s="24">
        <f t="shared" ref="R135:R198" si="10">J135*$H$2</f>
        <v>0.68945984000000005</v>
      </c>
      <c r="S135" s="24">
        <f t="shared" ref="S135:S198" si="11">K135*$H$2</f>
        <v>2.8122703999999998E-2</v>
      </c>
      <c r="T135" s="24">
        <f t="shared" ref="T135:T198" si="12">L135*$H$2</f>
        <v>1.4514944E-2</v>
      </c>
      <c r="U135" s="1">
        <v>14.8</v>
      </c>
      <c r="V135" s="1">
        <v>62.7</v>
      </c>
      <c r="W135" s="1">
        <v>0.64</v>
      </c>
      <c r="X135" s="1">
        <v>0.37</v>
      </c>
      <c r="Y135" s="1">
        <v>10.3</v>
      </c>
      <c r="Z135" s="1">
        <v>0.42</v>
      </c>
      <c r="AA135" s="6">
        <v>0.22</v>
      </c>
    </row>
    <row r="136" spans="1:27">
      <c r="A136" s="3"/>
      <c r="D136" s="1">
        <v>800</v>
      </c>
      <c r="E136" s="1">
        <f t="shared" si="7"/>
        <v>362.87360000000001</v>
      </c>
      <c r="G136" s="32">
        <v>10.23</v>
      </c>
      <c r="H136" s="25">
        <v>7.5</v>
      </c>
      <c r="I136" s="25">
        <v>1.7</v>
      </c>
      <c r="J136" s="25">
        <v>1.59</v>
      </c>
      <c r="K136" s="25">
        <v>6.3E-2</v>
      </c>
      <c r="L136" s="33">
        <v>3.4000000000000002E-2</v>
      </c>
      <c r="M136" s="42"/>
      <c r="N136" s="24">
        <f t="shared" si="8"/>
        <v>4.6402461600000002</v>
      </c>
      <c r="O136" s="40"/>
      <c r="P136" s="40"/>
      <c r="Q136" s="24">
        <f t="shared" si="9"/>
        <v>0.77110639999999997</v>
      </c>
      <c r="R136" s="24">
        <f t="shared" si="10"/>
        <v>0.72121128000000001</v>
      </c>
      <c r="S136" s="24">
        <f t="shared" si="11"/>
        <v>2.8576296000000001E-2</v>
      </c>
      <c r="T136" s="24">
        <f t="shared" si="12"/>
        <v>1.5422128E-2</v>
      </c>
      <c r="U136" s="1">
        <v>16.3</v>
      </c>
      <c r="V136" s="1">
        <v>62.7</v>
      </c>
      <c r="W136" s="1">
        <v>0.64</v>
      </c>
      <c r="X136" s="1">
        <v>0.37</v>
      </c>
      <c r="Y136" s="1">
        <v>9.8000000000000007</v>
      </c>
      <c r="Z136" s="1">
        <v>0.39</v>
      </c>
      <c r="AA136" s="6">
        <v>0.21</v>
      </c>
    </row>
    <row r="137" spans="1:27">
      <c r="A137" s="3"/>
      <c r="D137" s="1">
        <v>900</v>
      </c>
      <c r="E137" s="1">
        <f t="shared" si="7"/>
        <v>408.2328</v>
      </c>
      <c r="G137" s="32">
        <v>11.17</v>
      </c>
      <c r="H137" s="25">
        <v>8.1999999999999993</v>
      </c>
      <c r="I137" s="25">
        <v>1.8</v>
      </c>
      <c r="J137" s="25">
        <v>1.66</v>
      </c>
      <c r="K137" s="25">
        <v>6.5000000000000002E-2</v>
      </c>
      <c r="L137" s="33">
        <v>3.5999999999999997E-2</v>
      </c>
      <c r="M137" s="42"/>
      <c r="N137" s="24">
        <f t="shared" si="8"/>
        <v>5.0666226400000003</v>
      </c>
      <c r="O137" s="40"/>
      <c r="P137" s="40"/>
      <c r="Q137" s="24">
        <f t="shared" si="9"/>
        <v>0.81646560000000001</v>
      </c>
      <c r="R137" s="24">
        <f t="shared" si="10"/>
        <v>0.75296271999999997</v>
      </c>
      <c r="S137" s="24">
        <f t="shared" si="11"/>
        <v>2.9483479999999999E-2</v>
      </c>
      <c r="T137" s="24">
        <f t="shared" si="12"/>
        <v>1.6329311999999999E-2</v>
      </c>
      <c r="U137" s="1">
        <v>17.8</v>
      </c>
      <c r="V137" s="1">
        <v>62.7</v>
      </c>
      <c r="W137" s="1">
        <v>0.64</v>
      </c>
      <c r="X137" s="1">
        <v>0.37</v>
      </c>
      <c r="Y137" s="1">
        <v>9.3000000000000007</v>
      </c>
      <c r="Z137" s="1">
        <v>0.36</v>
      </c>
      <c r="AA137" s="6">
        <v>0.2</v>
      </c>
    </row>
    <row r="138" spans="1:27">
      <c r="A138" s="3"/>
      <c r="D138" s="1">
        <v>500</v>
      </c>
      <c r="E138" s="1">
        <f t="shared" si="7"/>
        <v>226.79599999999999</v>
      </c>
      <c r="F138" s="25">
        <v>2</v>
      </c>
      <c r="G138" s="32">
        <v>7.66</v>
      </c>
      <c r="H138" s="25">
        <v>5.3</v>
      </c>
      <c r="I138" s="25">
        <v>1.6</v>
      </c>
      <c r="J138" s="25">
        <v>1.57</v>
      </c>
      <c r="K138" s="25">
        <v>7.2999999999999995E-2</v>
      </c>
      <c r="L138" s="33">
        <v>3.5000000000000003E-2</v>
      </c>
      <c r="M138" s="42"/>
      <c r="N138" s="24">
        <f t="shared" si="8"/>
        <v>3.4745147200000002</v>
      </c>
      <c r="O138" s="40"/>
      <c r="P138" s="40"/>
      <c r="Q138" s="24">
        <f t="shared" si="9"/>
        <v>0.72574720000000004</v>
      </c>
      <c r="R138" s="24">
        <f t="shared" si="10"/>
        <v>0.71213944000000007</v>
      </c>
      <c r="S138" s="24">
        <f t="shared" si="11"/>
        <v>3.3112216E-2</v>
      </c>
      <c r="T138" s="24">
        <f t="shared" si="12"/>
        <v>1.5875720000000003E-2</v>
      </c>
      <c r="U138" s="1">
        <v>11.6</v>
      </c>
      <c r="V138" s="1">
        <v>66.3</v>
      </c>
      <c r="W138" s="1">
        <v>0.69</v>
      </c>
      <c r="X138" s="1">
        <v>0.42</v>
      </c>
      <c r="Y138" s="1">
        <v>13.6</v>
      </c>
      <c r="Z138" s="1">
        <v>0.63</v>
      </c>
      <c r="AA138" s="6">
        <v>0.3</v>
      </c>
    </row>
    <row r="139" spans="1:27">
      <c r="A139" s="3"/>
      <c r="D139" s="1">
        <v>600</v>
      </c>
      <c r="E139" s="1">
        <f t="shared" si="7"/>
        <v>272.15519999999998</v>
      </c>
      <c r="G139" s="32">
        <v>8.8000000000000007</v>
      </c>
      <c r="H139" s="25">
        <v>6.1</v>
      </c>
      <c r="I139" s="25">
        <v>1.9</v>
      </c>
      <c r="J139" s="25">
        <v>1.64</v>
      </c>
      <c r="K139" s="25">
        <v>7.3999999999999996E-2</v>
      </c>
      <c r="L139" s="33">
        <v>3.5999999999999997E-2</v>
      </c>
      <c r="M139" s="42"/>
      <c r="N139" s="24">
        <f t="shared" si="8"/>
        <v>3.9916096000000003</v>
      </c>
      <c r="O139" s="40"/>
      <c r="P139" s="40"/>
      <c r="Q139" s="24">
        <f t="shared" si="9"/>
        <v>0.86182479999999995</v>
      </c>
      <c r="R139" s="24">
        <f t="shared" si="10"/>
        <v>0.74389087999999992</v>
      </c>
      <c r="S139" s="24">
        <f t="shared" si="11"/>
        <v>3.3565807999999996E-2</v>
      </c>
      <c r="T139" s="24">
        <f t="shared" si="12"/>
        <v>1.6329311999999999E-2</v>
      </c>
      <c r="U139" s="1">
        <v>13.3</v>
      </c>
      <c r="V139" s="1">
        <v>66.400000000000006</v>
      </c>
      <c r="W139" s="1">
        <v>0.69</v>
      </c>
      <c r="X139" s="1">
        <v>0.42</v>
      </c>
      <c r="Y139" s="1">
        <v>12.4</v>
      </c>
      <c r="Z139" s="1">
        <v>0.56000000000000005</v>
      </c>
      <c r="AA139" s="6">
        <v>0.27</v>
      </c>
    </row>
    <row r="140" spans="1:27">
      <c r="A140" s="3"/>
      <c r="D140" s="1">
        <v>700</v>
      </c>
      <c r="E140" s="1">
        <f t="shared" si="7"/>
        <v>317.51440000000002</v>
      </c>
      <c r="G140" s="32">
        <v>9.84</v>
      </c>
      <c r="H140" s="25">
        <v>6.8</v>
      </c>
      <c r="I140" s="25">
        <v>2.1</v>
      </c>
      <c r="J140" s="25">
        <v>1.71</v>
      </c>
      <c r="K140" s="25">
        <v>7.4999999999999997E-2</v>
      </c>
      <c r="L140" s="33">
        <v>3.7999999999999999E-2</v>
      </c>
      <c r="M140" s="42"/>
      <c r="N140" s="24">
        <f t="shared" si="8"/>
        <v>4.4633452799999995</v>
      </c>
      <c r="O140" s="40"/>
      <c r="P140" s="40"/>
      <c r="Q140" s="24">
        <f t="shared" si="9"/>
        <v>0.95254320000000003</v>
      </c>
      <c r="R140" s="24">
        <f t="shared" si="10"/>
        <v>0.77564232</v>
      </c>
      <c r="S140" s="24">
        <f t="shared" si="11"/>
        <v>3.4019399999999998E-2</v>
      </c>
      <c r="T140" s="24">
        <f t="shared" si="12"/>
        <v>1.7236496E-2</v>
      </c>
      <c r="U140" s="1">
        <v>14.9</v>
      </c>
      <c r="V140" s="1">
        <v>66.2</v>
      </c>
      <c r="W140" s="1">
        <v>0.69</v>
      </c>
      <c r="X140" s="1">
        <v>0.42</v>
      </c>
      <c r="Y140" s="1">
        <v>11.5</v>
      </c>
      <c r="Z140" s="1">
        <v>0.5</v>
      </c>
      <c r="AA140" s="6">
        <v>0.25</v>
      </c>
    </row>
    <row r="141" spans="1:27">
      <c r="A141" s="3"/>
      <c r="D141" s="1">
        <v>800</v>
      </c>
      <c r="E141" s="1">
        <f t="shared" si="7"/>
        <v>362.87360000000001</v>
      </c>
      <c r="G141" s="32">
        <v>10.87</v>
      </c>
      <c r="H141" s="25">
        <v>7.5</v>
      </c>
      <c r="I141" s="25">
        <v>2.2999999999999998</v>
      </c>
      <c r="J141" s="25">
        <v>1.78</v>
      </c>
      <c r="K141" s="25">
        <v>7.5999999999999998E-2</v>
      </c>
      <c r="L141" s="33">
        <v>3.9E-2</v>
      </c>
      <c r="M141" s="42"/>
      <c r="N141" s="24">
        <f t="shared" si="8"/>
        <v>4.9305450399999993</v>
      </c>
      <c r="O141" s="40"/>
      <c r="P141" s="40"/>
      <c r="Q141" s="24">
        <f t="shared" si="9"/>
        <v>1.0432615999999999</v>
      </c>
      <c r="R141" s="24">
        <f t="shared" si="10"/>
        <v>0.80739375999999996</v>
      </c>
      <c r="S141" s="24">
        <f t="shared" si="11"/>
        <v>3.4472992000000001E-2</v>
      </c>
      <c r="T141" s="24">
        <f t="shared" si="12"/>
        <v>1.7690088E-2</v>
      </c>
      <c r="U141" s="1">
        <v>16.399999999999999</v>
      </c>
      <c r="V141" s="1">
        <v>66.099999999999994</v>
      </c>
      <c r="W141" s="1">
        <v>0.69</v>
      </c>
      <c r="X141" s="1">
        <v>0.42</v>
      </c>
      <c r="Y141" s="1">
        <v>10.8</v>
      </c>
      <c r="Z141" s="1">
        <v>0.46</v>
      </c>
      <c r="AA141" s="6">
        <v>0.24</v>
      </c>
    </row>
    <row r="142" spans="1:27">
      <c r="A142" s="3"/>
      <c r="D142" s="1">
        <v>900</v>
      </c>
      <c r="E142" s="1">
        <f t="shared" si="7"/>
        <v>408.2328</v>
      </c>
      <c r="G142" s="32">
        <v>11.88</v>
      </c>
      <c r="H142" s="25">
        <v>8.1999999999999993</v>
      </c>
      <c r="I142" s="25">
        <v>2.6</v>
      </c>
      <c r="J142" s="25">
        <v>1.84</v>
      </c>
      <c r="K142" s="25">
        <v>7.6999999999999999E-2</v>
      </c>
      <c r="L142" s="33">
        <v>4.1000000000000002E-2</v>
      </c>
      <c r="M142" s="42"/>
      <c r="N142" s="24">
        <f t="shared" si="8"/>
        <v>5.3886729600000001</v>
      </c>
      <c r="O142" s="40"/>
      <c r="P142" s="40"/>
      <c r="Q142" s="24">
        <f t="shared" si="9"/>
        <v>1.1793392</v>
      </c>
      <c r="R142" s="24">
        <f t="shared" si="10"/>
        <v>0.83460928000000001</v>
      </c>
      <c r="S142" s="24">
        <f t="shared" si="11"/>
        <v>3.4926583999999997E-2</v>
      </c>
      <c r="T142" s="24">
        <f t="shared" si="12"/>
        <v>1.8597272000000001E-2</v>
      </c>
      <c r="U142" s="1">
        <v>18</v>
      </c>
      <c r="V142" s="1">
        <v>66.099999999999994</v>
      </c>
      <c r="W142" s="1">
        <v>0.69</v>
      </c>
      <c r="X142" s="1">
        <v>0.42</v>
      </c>
      <c r="Y142" s="1">
        <v>10.3</v>
      </c>
      <c r="Z142" s="1">
        <v>0.43</v>
      </c>
      <c r="AA142" s="6">
        <v>0.23</v>
      </c>
    </row>
    <row r="143" spans="1:27">
      <c r="A143" s="3"/>
      <c r="D143" s="1">
        <v>500</v>
      </c>
      <c r="E143" s="1">
        <f t="shared" si="7"/>
        <v>226.79599999999999</v>
      </c>
      <c r="F143" s="25">
        <v>2.5</v>
      </c>
      <c r="G143" s="32">
        <v>8.09</v>
      </c>
      <c r="H143" s="25">
        <v>5.3</v>
      </c>
      <c r="I143" s="25">
        <v>2</v>
      </c>
      <c r="J143" s="25">
        <v>1.78</v>
      </c>
      <c r="K143" s="25">
        <v>8.6999999999999994E-2</v>
      </c>
      <c r="L143" s="33">
        <v>4.1000000000000002E-2</v>
      </c>
      <c r="M143" s="42"/>
      <c r="N143" s="24">
        <f t="shared" si="8"/>
        <v>3.6695592800000001</v>
      </c>
      <c r="O143" s="40"/>
      <c r="P143" s="40"/>
      <c r="Q143" s="24">
        <f t="shared" si="9"/>
        <v>0.90718399999999999</v>
      </c>
      <c r="R143" s="24">
        <f t="shared" si="10"/>
        <v>0.80739375999999996</v>
      </c>
      <c r="S143" s="24">
        <f t="shared" si="11"/>
        <v>3.9462503999999995E-2</v>
      </c>
      <c r="T143" s="24">
        <f t="shared" si="12"/>
        <v>1.8597272000000001E-2</v>
      </c>
      <c r="U143" s="1">
        <v>11.5</v>
      </c>
      <c r="V143" s="1">
        <v>70.099999999999994</v>
      </c>
      <c r="W143" s="1">
        <v>0.74</v>
      </c>
      <c r="X143" s="1">
        <v>0.47</v>
      </c>
      <c r="Y143" s="1">
        <v>15.4</v>
      </c>
      <c r="Z143" s="1">
        <v>0.76</v>
      </c>
      <c r="AA143" s="6">
        <v>0.35</v>
      </c>
    </row>
    <row r="144" spans="1:27">
      <c r="A144" s="3"/>
      <c r="D144" s="1">
        <v>600</v>
      </c>
      <c r="E144" s="1">
        <f t="shared" si="7"/>
        <v>272.15519999999998</v>
      </c>
      <c r="G144" s="32">
        <v>9.2899999999999991</v>
      </c>
      <c r="H144" s="25">
        <v>6.1</v>
      </c>
      <c r="I144" s="25">
        <v>2.4</v>
      </c>
      <c r="J144" s="25">
        <v>1.84</v>
      </c>
      <c r="K144" s="25">
        <v>8.6999999999999994E-2</v>
      </c>
      <c r="L144" s="33">
        <v>4.2000000000000003E-2</v>
      </c>
      <c r="M144" s="42"/>
      <c r="N144" s="24">
        <f t="shared" si="8"/>
        <v>4.2138696799999993</v>
      </c>
      <c r="O144" s="40"/>
      <c r="P144" s="40"/>
      <c r="Q144" s="24">
        <f t="shared" si="9"/>
        <v>1.0886207999999999</v>
      </c>
      <c r="R144" s="24">
        <f t="shared" si="10"/>
        <v>0.83460928000000001</v>
      </c>
      <c r="S144" s="24">
        <f t="shared" si="11"/>
        <v>3.9462503999999995E-2</v>
      </c>
      <c r="T144" s="24">
        <f t="shared" si="12"/>
        <v>1.9050864000000001E-2</v>
      </c>
      <c r="U144" s="1">
        <v>13.2</v>
      </c>
      <c r="V144" s="1">
        <v>70.2</v>
      </c>
      <c r="W144" s="1">
        <v>0.75</v>
      </c>
      <c r="X144" s="1">
        <v>0.47</v>
      </c>
      <c r="Y144" s="1">
        <v>13.9</v>
      </c>
      <c r="Z144" s="1">
        <v>0.66</v>
      </c>
      <c r="AA144" s="6">
        <v>0.31</v>
      </c>
    </row>
    <row r="145" spans="1:27">
      <c r="A145" s="3"/>
      <c r="D145" s="1">
        <v>700</v>
      </c>
      <c r="E145" s="1">
        <f t="shared" si="7"/>
        <v>317.51440000000002</v>
      </c>
      <c r="G145" s="32">
        <v>10.4</v>
      </c>
      <c r="H145" s="25">
        <v>6.8</v>
      </c>
      <c r="I145" s="25">
        <v>2.7</v>
      </c>
      <c r="J145" s="25">
        <v>1.9</v>
      </c>
      <c r="K145" s="25">
        <v>8.7999999999999995E-2</v>
      </c>
      <c r="L145" s="33">
        <v>4.2999999999999997E-2</v>
      </c>
      <c r="M145" s="42"/>
      <c r="N145" s="24">
        <f t="shared" si="8"/>
        <v>4.7173568000000001</v>
      </c>
      <c r="O145" s="40"/>
      <c r="P145" s="40"/>
      <c r="Q145" s="24">
        <f t="shared" si="9"/>
        <v>1.2246984000000001</v>
      </c>
      <c r="R145" s="24">
        <f t="shared" si="10"/>
        <v>0.86182479999999995</v>
      </c>
      <c r="S145" s="24">
        <f t="shared" si="11"/>
        <v>3.9916095999999998E-2</v>
      </c>
      <c r="T145" s="24">
        <f t="shared" si="12"/>
        <v>1.9504456E-2</v>
      </c>
      <c r="U145" s="1">
        <v>14.9</v>
      </c>
      <c r="V145" s="1">
        <v>70</v>
      </c>
      <c r="W145" s="1">
        <v>0.74</v>
      </c>
      <c r="X145" s="1">
        <v>0.47</v>
      </c>
      <c r="Y145" s="1">
        <v>12.8</v>
      </c>
      <c r="Z145" s="1">
        <v>0.59</v>
      </c>
      <c r="AA145" s="6">
        <v>0.28999999999999998</v>
      </c>
    </row>
    <row r="146" spans="1:27">
      <c r="A146" s="3"/>
      <c r="D146" s="1">
        <v>800</v>
      </c>
      <c r="E146" s="1">
        <f t="shared" si="7"/>
        <v>362.87360000000001</v>
      </c>
      <c r="G146" s="32">
        <v>11.48</v>
      </c>
      <c r="H146" s="25">
        <v>7.5</v>
      </c>
      <c r="I146" s="25">
        <v>2.9</v>
      </c>
      <c r="J146" s="25">
        <v>1.96</v>
      </c>
      <c r="K146" s="25">
        <v>8.7999999999999995E-2</v>
      </c>
      <c r="L146" s="33">
        <v>4.3999999999999997E-2</v>
      </c>
      <c r="M146" s="42"/>
      <c r="N146" s="24">
        <f t="shared" si="8"/>
        <v>5.2072361599999999</v>
      </c>
      <c r="O146" s="40"/>
      <c r="P146" s="40"/>
      <c r="Q146" s="24">
        <f t="shared" si="9"/>
        <v>1.3154167999999999</v>
      </c>
      <c r="R146" s="24">
        <f t="shared" si="10"/>
        <v>0.88904032</v>
      </c>
      <c r="S146" s="24">
        <f t="shared" si="11"/>
        <v>3.9916095999999998E-2</v>
      </c>
      <c r="T146" s="24">
        <f t="shared" si="12"/>
        <v>1.9958047999999999E-2</v>
      </c>
      <c r="U146" s="1">
        <v>16.399999999999999</v>
      </c>
      <c r="V146" s="1">
        <v>69.900000000000006</v>
      </c>
      <c r="W146" s="1">
        <v>0.74</v>
      </c>
      <c r="X146" s="1">
        <v>0.47</v>
      </c>
      <c r="Y146" s="1">
        <v>11.9</v>
      </c>
      <c r="Z146" s="1">
        <v>0.54</v>
      </c>
      <c r="AA146" s="6">
        <v>0.27</v>
      </c>
    </row>
    <row r="147" spans="1:27">
      <c r="A147" s="3"/>
      <c r="D147" s="1">
        <v>900</v>
      </c>
      <c r="E147" s="1">
        <f t="shared" si="7"/>
        <v>408.2328</v>
      </c>
      <c r="G147" s="32">
        <v>12.55</v>
      </c>
      <c r="H147" s="25">
        <v>8.1999999999999993</v>
      </c>
      <c r="I147" s="25">
        <v>3.2</v>
      </c>
      <c r="J147" s="25">
        <v>2.02</v>
      </c>
      <c r="K147" s="25">
        <v>8.8999999999999996E-2</v>
      </c>
      <c r="L147" s="33">
        <v>4.4999999999999998E-2</v>
      </c>
      <c r="M147" s="42"/>
      <c r="N147" s="24">
        <f t="shared" si="8"/>
        <v>5.6925796000000002</v>
      </c>
      <c r="O147" s="40"/>
      <c r="P147" s="40"/>
      <c r="Q147" s="24">
        <f t="shared" si="9"/>
        <v>1.4514944000000001</v>
      </c>
      <c r="R147" s="24">
        <f t="shared" si="10"/>
        <v>0.91625584000000004</v>
      </c>
      <c r="S147" s="24">
        <f t="shared" si="11"/>
        <v>4.0369688000000001E-2</v>
      </c>
      <c r="T147" s="24">
        <f t="shared" si="12"/>
        <v>2.0411639999999998E-2</v>
      </c>
      <c r="U147" s="1">
        <v>17.899999999999999</v>
      </c>
      <c r="V147" s="1">
        <v>69.900000000000006</v>
      </c>
      <c r="W147" s="1">
        <v>0.74</v>
      </c>
      <c r="X147" s="1">
        <v>0.47</v>
      </c>
      <c r="Y147" s="1">
        <v>11.2</v>
      </c>
      <c r="Z147" s="1">
        <v>0.49</v>
      </c>
      <c r="AA147" s="6">
        <v>0.25</v>
      </c>
    </row>
    <row r="148" spans="1:27">
      <c r="A148" s="3"/>
      <c r="D148" s="1">
        <v>500</v>
      </c>
      <c r="E148" s="1">
        <f t="shared" si="7"/>
        <v>226.79599999999999</v>
      </c>
      <c r="F148" s="25">
        <v>3</v>
      </c>
      <c r="G148" s="32">
        <v>8.49</v>
      </c>
      <c r="H148" s="25">
        <v>5.3</v>
      </c>
      <c r="I148" s="25">
        <v>2.5</v>
      </c>
      <c r="J148" s="25">
        <v>1.99</v>
      </c>
      <c r="K148" s="25">
        <v>0.10100000000000001</v>
      </c>
      <c r="L148" s="33">
        <v>4.5999999999999999E-2</v>
      </c>
      <c r="M148" s="42"/>
      <c r="N148" s="24">
        <f t="shared" si="8"/>
        <v>3.8509960800000003</v>
      </c>
      <c r="O148" s="40"/>
      <c r="P148" s="40"/>
      <c r="Q148" s="24">
        <f t="shared" si="9"/>
        <v>1.13398</v>
      </c>
      <c r="R148" s="24">
        <f t="shared" si="10"/>
        <v>0.90264807999999996</v>
      </c>
      <c r="S148" s="24">
        <f t="shared" si="11"/>
        <v>4.5812792000000005E-2</v>
      </c>
      <c r="T148" s="24">
        <f t="shared" si="12"/>
        <v>2.0865232000000001E-2</v>
      </c>
      <c r="U148" s="1">
        <v>11.4</v>
      </c>
      <c r="V148" s="1">
        <v>74.3</v>
      </c>
      <c r="W148" s="1">
        <v>0.8</v>
      </c>
      <c r="X148" s="1">
        <v>0.52</v>
      </c>
      <c r="Y148" s="1">
        <v>17.399999999999999</v>
      </c>
      <c r="Z148" s="1">
        <v>0.89</v>
      </c>
      <c r="AA148" s="6">
        <v>0.4</v>
      </c>
    </row>
    <row r="149" spans="1:27">
      <c r="A149" s="3"/>
      <c r="D149" s="1">
        <v>600</v>
      </c>
      <c r="E149" s="1">
        <f t="shared" si="7"/>
        <v>272.15519999999998</v>
      </c>
      <c r="G149" s="32">
        <v>9.75</v>
      </c>
      <c r="H149" s="25">
        <v>6.1</v>
      </c>
      <c r="I149" s="25">
        <v>2.9</v>
      </c>
      <c r="J149" s="25">
        <v>2.04</v>
      </c>
      <c r="K149" s="25">
        <v>0.10100000000000001</v>
      </c>
      <c r="L149" s="33">
        <v>4.7E-2</v>
      </c>
      <c r="M149" s="42"/>
      <c r="N149" s="24">
        <f t="shared" si="8"/>
        <v>4.4225219999999998</v>
      </c>
      <c r="O149" s="40"/>
      <c r="P149" s="40"/>
      <c r="Q149" s="24">
        <f t="shared" si="9"/>
        <v>1.3154167999999999</v>
      </c>
      <c r="R149" s="24">
        <f t="shared" si="10"/>
        <v>0.92532767999999999</v>
      </c>
      <c r="S149" s="24">
        <f t="shared" si="11"/>
        <v>4.5812792000000005E-2</v>
      </c>
      <c r="T149" s="24">
        <f t="shared" si="12"/>
        <v>2.1318824E-2</v>
      </c>
      <c r="U149" s="1">
        <v>13.1</v>
      </c>
      <c r="V149" s="1">
        <v>74.5</v>
      </c>
      <c r="W149" s="1">
        <v>0.81</v>
      </c>
      <c r="X149" s="1">
        <v>0.52</v>
      </c>
      <c r="Y149" s="1">
        <v>15.6</v>
      </c>
      <c r="Z149" s="1">
        <v>0.77</v>
      </c>
      <c r="AA149" s="6">
        <v>0.36</v>
      </c>
    </row>
    <row r="150" spans="1:27">
      <c r="A150" s="3"/>
      <c r="D150" s="1">
        <v>700</v>
      </c>
      <c r="E150" s="1">
        <f t="shared" si="7"/>
        <v>317.51440000000002</v>
      </c>
      <c r="G150" s="32">
        <v>10.92</v>
      </c>
      <c r="H150" s="25">
        <v>6.8</v>
      </c>
      <c r="I150" s="25">
        <v>3.2</v>
      </c>
      <c r="J150" s="25">
        <v>2.09</v>
      </c>
      <c r="K150" s="25">
        <v>0.10100000000000001</v>
      </c>
      <c r="L150" s="33">
        <v>4.8000000000000001E-2</v>
      </c>
      <c r="M150" s="42"/>
      <c r="N150" s="24">
        <f t="shared" si="8"/>
        <v>4.9532246400000002</v>
      </c>
      <c r="O150" s="40"/>
      <c r="P150" s="40"/>
      <c r="Q150" s="24">
        <f t="shared" si="9"/>
        <v>1.4514944000000001</v>
      </c>
      <c r="R150" s="24">
        <f t="shared" si="10"/>
        <v>0.9480072799999999</v>
      </c>
      <c r="S150" s="24">
        <f t="shared" si="11"/>
        <v>4.5812792000000005E-2</v>
      </c>
      <c r="T150" s="24">
        <f t="shared" si="12"/>
        <v>2.1772415999999999E-2</v>
      </c>
      <c r="U150" s="1">
        <v>14.7</v>
      </c>
      <c r="V150" s="1">
        <v>74.3</v>
      </c>
      <c r="W150" s="1">
        <v>0.8</v>
      </c>
      <c r="X150" s="1">
        <v>0.52</v>
      </c>
      <c r="Y150" s="1">
        <v>14.2</v>
      </c>
      <c r="Z150" s="1">
        <v>0.68</v>
      </c>
      <c r="AA150" s="6">
        <v>0.33</v>
      </c>
    </row>
    <row r="151" spans="1:27">
      <c r="A151" s="3"/>
      <c r="D151" s="1">
        <v>800</v>
      </c>
      <c r="E151" s="1">
        <f t="shared" si="7"/>
        <v>362.87360000000001</v>
      </c>
      <c r="G151" s="32">
        <v>12.06</v>
      </c>
      <c r="H151" s="25">
        <v>7.5</v>
      </c>
      <c r="I151" s="25">
        <v>3.6</v>
      </c>
      <c r="J151" s="25">
        <v>2.14</v>
      </c>
      <c r="K151" s="25">
        <v>0.1</v>
      </c>
      <c r="L151" s="33">
        <v>4.9000000000000002E-2</v>
      </c>
      <c r="M151" s="42"/>
      <c r="N151" s="24">
        <f t="shared" si="8"/>
        <v>5.4703195200000003</v>
      </c>
      <c r="O151" s="40"/>
      <c r="P151" s="40"/>
      <c r="Q151" s="24">
        <f t="shared" si="9"/>
        <v>1.6329312</v>
      </c>
      <c r="R151" s="24">
        <f t="shared" si="10"/>
        <v>0.97068688000000003</v>
      </c>
      <c r="S151" s="24">
        <f t="shared" si="11"/>
        <v>4.5359200000000002E-2</v>
      </c>
      <c r="T151" s="24">
        <f t="shared" si="12"/>
        <v>2.2226008000000002E-2</v>
      </c>
      <c r="U151" s="1">
        <v>16.3</v>
      </c>
      <c r="V151" s="1">
        <v>74.2</v>
      </c>
      <c r="W151" s="1">
        <v>0.8</v>
      </c>
      <c r="X151" s="1">
        <v>0.52</v>
      </c>
      <c r="Y151" s="1">
        <v>13.2</v>
      </c>
      <c r="Z151" s="1">
        <v>0.62</v>
      </c>
      <c r="AA151" s="6">
        <v>0.3</v>
      </c>
    </row>
    <row r="152" spans="1:27">
      <c r="A152" s="13"/>
      <c r="B152" s="8"/>
      <c r="C152" s="8"/>
      <c r="D152" s="8">
        <v>900</v>
      </c>
      <c r="E152" s="1">
        <f t="shared" si="7"/>
        <v>408.2328</v>
      </c>
      <c r="F152" s="35"/>
      <c r="G152" s="34">
        <v>13.18</v>
      </c>
      <c r="H152" s="35">
        <v>8.1999999999999993</v>
      </c>
      <c r="I152" s="35">
        <v>3.9</v>
      </c>
      <c r="J152" s="35">
        <v>2.19</v>
      </c>
      <c r="K152" s="35">
        <v>0.1</v>
      </c>
      <c r="L152" s="36">
        <v>0.05</v>
      </c>
      <c r="M152" s="42"/>
      <c r="N152" s="24">
        <f t="shared" si="8"/>
        <v>5.9783425599999998</v>
      </c>
      <c r="O152" s="40"/>
      <c r="P152" s="40"/>
      <c r="Q152" s="24">
        <f t="shared" si="9"/>
        <v>1.7690087999999999</v>
      </c>
      <c r="R152" s="24">
        <f t="shared" si="10"/>
        <v>0.99336647999999994</v>
      </c>
      <c r="S152" s="24">
        <f t="shared" si="11"/>
        <v>4.5359200000000002E-2</v>
      </c>
      <c r="T152" s="24">
        <f t="shared" si="12"/>
        <v>2.2679600000000001E-2</v>
      </c>
      <c r="U152" s="8">
        <v>17.8</v>
      </c>
      <c r="V152" s="8">
        <v>74.2</v>
      </c>
      <c r="W152" s="8">
        <v>0.8</v>
      </c>
      <c r="X152" s="8">
        <v>0.52</v>
      </c>
      <c r="Y152" s="8">
        <v>12.3</v>
      </c>
      <c r="Z152" s="8">
        <v>0.56000000000000005</v>
      </c>
      <c r="AA152" s="9">
        <v>0.28000000000000003</v>
      </c>
    </row>
    <row r="153" spans="1:27">
      <c r="E153" s="1">
        <f t="shared" si="7"/>
        <v>0</v>
      </c>
      <c r="N153" s="24">
        <f t="shared" si="8"/>
        <v>0</v>
      </c>
      <c r="O153" s="40"/>
      <c r="P153" s="40"/>
      <c r="Q153" s="24">
        <f t="shared" si="9"/>
        <v>0</v>
      </c>
      <c r="R153" s="24">
        <f t="shared" si="10"/>
        <v>0</v>
      </c>
      <c r="S153" s="24">
        <f t="shared" si="11"/>
        <v>0</v>
      </c>
      <c r="T153" s="24">
        <f t="shared" si="12"/>
        <v>0</v>
      </c>
    </row>
    <row r="154" spans="1:27">
      <c r="A154" s="11"/>
      <c r="B154" s="10"/>
      <c r="C154" s="10"/>
      <c r="D154" s="10"/>
      <c r="E154" s="1">
        <f t="shared" si="7"/>
        <v>0</v>
      </c>
      <c r="F154" s="37"/>
      <c r="G154" s="26" t="s">
        <v>10</v>
      </c>
      <c r="H154" s="27"/>
      <c r="I154" s="27"/>
      <c r="J154" s="27"/>
      <c r="K154" s="27"/>
      <c r="L154" s="28"/>
      <c r="M154" s="43"/>
      <c r="N154" s="24" t="e">
        <f t="shared" si="8"/>
        <v>#VALUE!</v>
      </c>
      <c r="O154" s="40"/>
      <c r="P154" s="40"/>
      <c r="Q154" s="24">
        <f t="shared" si="9"/>
        <v>0</v>
      </c>
      <c r="R154" s="24">
        <f t="shared" si="10"/>
        <v>0</v>
      </c>
      <c r="S154" s="24">
        <f t="shared" si="11"/>
        <v>0</v>
      </c>
      <c r="T154" s="24">
        <f t="shared" si="12"/>
        <v>0</v>
      </c>
      <c r="U154" s="20" t="s">
        <v>21</v>
      </c>
      <c r="V154" s="21"/>
      <c r="W154" s="21"/>
      <c r="X154" s="21"/>
      <c r="Y154" s="21"/>
      <c r="Z154" s="21"/>
      <c r="AA154" s="22"/>
    </row>
    <row r="155" spans="1:27" ht="39">
      <c r="A155" s="12" t="s">
        <v>43</v>
      </c>
      <c r="B155" s="2" t="s">
        <v>27</v>
      </c>
      <c r="C155" s="2"/>
      <c r="D155" s="2" t="s">
        <v>31</v>
      </c>
      <c r="E155" s="1" t="e">
        <f t="shared" si="7"/>
        <v>#VALUE!</v>
      </c>
      <c r="F155" s="30" t="s">
        <v>30</v>
      </c>
      <c r="G155" s="29" t="s">
        <v>11</v>
      </c>
      <c r="H155" s="30" t="s">
        <v>23</v>
      </c>
      <c r="I155" s="30" t="s">
        <v>24</v>
      </c>
      <c r="J155" s="30" t="s">
        <v>12</v>
      </c>
      <c r="K155" s="30" t="s">
        <v>13</v>
      </c>
      <c r="L155" s="31" t="s">
        <v>14</v>
      </c>
      <c r="M155" s="41"/>
      <c r="N155" s="24" t="e">
        <f t="shared" si="8"/>
        <v>#VALUE!</v>
      </c>
      <c r="O155" s="40"/>
      <c r="P155" s="40"/>
      <c r="Q155" s="24" t="e">
        <f t="shared" si="9"/>
        <v>#VALUE!</v>
      </c>
      <c r="R155" s="24" t="e">
        <f t="shared" si="10"/>
        <v>#VALUE!</v>
      </c>
      <c r="S155" s="24" t="e">
        <f t="shared" si="11"/>
        <v>#VALUE!</v>
      </c>
      <c r="T155" s="24" t="e">
        <f t="shared" si="12"/>
        <v>#VALUE!</v>
      </c>
      <c r="U155" s="3" t="s">
        <v>15</v>
      </c>
      <c r="V155" s="2" t="s">
        <v>16</v>
      </c>
      <c r="W155" s="2" t="s">
        <v>17</v>
      </c>
      <c r="X155" s="2" t="s">
        <v>24</v>
      </c>
      <c r="Y155" s="2" t="s">
        <v>18</v>
      </c>
      <c r="Z155" s="2" t="s">
        <v>19</v>
      </c>
      <c r="AA155" s="4" t="s">
        <v>20</v>
      </c>
    </row>
    <row r="156" spans="1:27">
      <c r="A156" s="3"/>
      <c r="D156" s="1">
        <v>900</v>
      </c>
      <c r="E156" s="1">
        <f t="shared" si="7"/>
        <v>408.2328</v>
      </c>
      <c r="F156" s="25">
        <v>1</v>
      </c>
      <c r="G156" s="32">
        <v>11.27</v>
      </c>
      <c r="H156" s="25">
        <v>8.1999999999999993</v>
      </c>
      <c r="I156" s="25">
        <v>1.2</v>
      </c>
      <c r="J156" s="25">
        <v>1.54</v>
      </c>
      <c r="K156" s="25">
        <v>5.1999999999999998E-2</v>
      </c>
      <c r="L156" s="33">
        <v>3.1E-2</v>
      </c>
      <c r="M156" s="42"/>
      <c r="N156" s="24">
        <f t="shared" si="8"/>
        <v>5.1119818399999994</v>
      </c>
      <c r="O156" s="40"/>
      <c r="P156" s="40"/>
      <c r="Q156" s="24">
        <f t="shared" si="9"/>
        <v>0.54431039999999997</v>
      </c>
      <c r="R156" s="24">
        <f t="shared" si="10"/>
        <v>0.69853167999999999</v>
      </c>
      <c r="S156" s="24">
        <f t="shared" si="11"/>
        <v>2.3586784E-2</v>
      </c>
      <c r="T156" s="24">
        <f t="shared" si="12"/>
        <v>1.4061351999999999E-2</v>
      </c>
      <c r="U156" s="5">
        <v>20.7</v>
      </c>
      <c r="V156" s="1">
        <v>54.3</v>
      </c>
      <c r="W156" s="1">
        <v>0.51</v>
      </c>
      <c r="X156" s="1">
        <v>0.25</v>
      </c>
      <c r="Y156" s="1">
        <v>7.4</v>
      </c>
      <c r="Z156" s="1">
        <v>0.25</v>
      </c>
      <c r="AA156" s="6">
        <v>0.15</v>
      </c>
    </row>
    <row r="157" spans="1:27">
      <c r="A157" s="3"/>
      <c r="D157" s="15">
        <v>1000</v>
      </c>
      <c r="E157" s="1">
        <f t="shared" si="7"/>
        <v>453.59199999999998</v>
      </c>
      <c r="G157" s="32">
        <v>12.21</v>
      </c>
      <c r="H157" s="25">
        <v>8.9</v>
      </c>
      <c r="I157" s="25">
        <v>1.3</v>
      </c>
      <c r="J157" s="25">
        <v>1.62</v>
      </c>
      <c r="K157" s="25">
        <v>5.3999999999999999E-2</v>
      </c>
      <c r="L157" s="33">
        <v>3.3000000000000002E-2</v>
      </c>
      <c r="M157" s="42"/>
      <c r="N157" s="24">
        <f t="shared" si="8"/>
        <v>5.5383583200000004</v>
      </c>
      <c r="O157" s="40"/>
      <c r="P157" s="40"/>
      <c r="Q157" s="24">
        <f t="shared" si="9"/>
        <v>0.58966960000000002</v>
      </c>
      <c r="R157" s="24">
        <f t="shared" si="10"/>
        <v>0.73481904000000009</v>
      </c>
      <c r="S157" s="24">
        <f t="shared" si="11"/>
        <v>2.4493967999999998E-2</v>
      </c>
      <c r="T157" s="24">
        <f t="shared" si="12"/>
        <v>1.4968536000000001E-2</v>
      </c>
      <c r="U157" s="5">
        <v>22.5</v>
      </c>
      <c r="V157" s="1">
        <v>54.4</v>
      </c>
      <c r="W157" s="1">
        <v>0.51</v>
      </c>
      <c r="X157" s="1">
        <v>0.26</v>
      </c>
      <c r="Y157" s="1">
        <v>7.2</v>
      </c>
      <c r="Z157" s="1">
        <v>0.24</v>
      </c>
      <c r="AA157" s="6">
        <v>0.15</v>
      </c>
    </row>
    <row r="158" spans="1:27">
      <c r="A158" s="3"/>
      <c r="D158" s="15">
        <v>1100</v>
      </c>
      <c r="E158" s="1">
        <f t="shared" si="7"/>
        <v>498.95119999999997</v>
      </c>
      <c r="G158" s="32">
        <v>13.08</v>
      </c>
      <c r="H158" s="25">
        <v>9.5</v>
      </c>
      <c r="I158" s="25">
        <v>1.4</v>
      </c>
      <c r="J158" s="25">
        <v>1.69</v>
      </c>
      <c r="K158" s="25">
        <v>5.7000000000000002E-2</v>
      </c>
      <c r="L158" s="33">
        <v>3.5000000000000003E-2</v>
      </c>
      <c r="M158" s="42"/>
      <c r="N158" s="24">
        <f t="shared" si="8"/>
        <v>5.9329833599999997</v>
      </c>
      <c r="O158" s="40"/>
      <c r="P158" s="40"/>
      <c r="Q158" s="24">
        <f t="shared" si="9"/>
        <v>0.63502879999999995</v>
      </c>
      <c r="R158" s="24">
        <f t="shared" si="10"/>
        <v>0.76657047999999994</v>
      </c>
      <c r="S158" s="24">
        <f t="shared" si="11"/>
        <v>2.5854743999999999E-2</v>
      </c>
      <c r="T158" s="24">
        <f t="shared" si="12"/>
        <v>1.5875720000000003E-2</v>
      </c>
      <c r="U158" s="5">
        <v>24.1</v>
      </c>
      <c r="V158" s="1">
        <v>54.3</v>
      </c>
      <c r="W158" s="1">
        <v>0.51</v>
      </c>
      <c r="X158" s="1">
        <v>0.25</v>
      </c>
      <c r="Y158" s="1">
        <v>7</v>
      </c>
      <c r="Z158" s="1">
        <v>0.23</v>
      </c>
      <c r="AA158" s="6">
        <v>0.14000000000000001</v>
      </c>
    </row>
    <row r="159" spans="1:27">
      <c r="A159" s="3"/>
      <c r="D159" s="15">
        <v>1200</v>
      </c>
      <c r="E159" s="1">
        <f t="shared" si="7"/>
        <v>544.31039999999996</v>
      </c>
      <c r="G159" s="32">
        <v>14</v>
      </c>
      <c r="H159" s="25">
        <v>10.199999999999999</v>
      </c>
      <c r="I159" s="25">
        <v>1.5</v>
      </c>
      <c r="J159" s="25">
        <v>1.76</v>
      </c>
      <c r="K159" s="25">
        <v>5.8999999999999997E-2</v>
      </c>
      <c r="L159" s="33">
        <v>3.5999999999999997E-2</v>
      </c>
      <c r="M159" s="42"/>
      <c r="N159" s="24">
        <f t="shared" si="8"/>
        <v>6.3502879999999999</v>
      </c>
      <c r="O159" s="40"/>
      <c r="P159" s="40"/>
      <c r="Q159" s="24">
        <f t="shared" si="9"/>
        <v>0.68038799999999999</v>
      </c>
      <c r="R159" s="24">
        <f t="shared" si="10"/>
        <v>0.79832192000000002</v>
      </c>
      <c r="S159" s="24">
        <f t="shared" si="11"/>
        <v>2.6761927999999997E-2</v>
      </c>
      <c r="T159" s="24">
        <f t="shared" si="12"/>
        <v>1.6329311999999999E-2</v>
      </c>
      <c r="U159" s="5">
        <v>25.7</v>
      </c>
      <c r="V159" s="1">
        <v>54.4</v>
      </c>
      <c r="W159" s="1">
        <v>0.51</v>
      </c>
      <c r="X159" s="1">
        <v>0.26</v>
      </c>
      <c r="Y159" s="1">
        <v>6.9</v>
      </c>
      <c r="Z159" s="1">
        <v>0.23</v>
      </c>
      <c r="AA159" s="6">
        <v>0.14000000000000001</v>
      </c>
    </row>
    <row r="160" spans="1:27">
      <c r="A160" s="3"/>
      <c r="D160" s="15">
        <v>1300</v>
      </c>
      <c r="E160" s="1">
        <f t="shared" si="7"/>
        <v>589.66959999999995</v>
      </c>
      <c r="G160" s="32">
        <v>14.85</v>
      </c>
      <c r="H160" s="25">
        <v>10.8</v>
      </c>
      <c r="I160" s="25">
        <v>1.5</v>
      </c>
      <c r="J160" s="25">
        <v>1.83</v>
      </c>
      <c r="K160" s="25">
        <v>6.0999999999999999E-2</v>
      </c>
      <c r="L160" s="33">
        <v>3.7999999999999999E-2</v>
      </c>
      <c r="M160" s="42"/>
      <c r="N160" s="24">
        <f t="shared" si="8"/>
        <v>6.7358411999999994</v>
      </c>
      <c r="O160" s="40"/>
      <c r="P160" s="40"/>
      <c r="Q160" s="24">
        <f t="shared" si="9"/>
        <v>0.68038799999999999</v>
      </c>
      <c r="R160" s="24">
        <f t="shared" si="10"/>
        <v>0.83007335999999998</v>
      </c>
      <c r="S160" s="24">
        <f t="shared" si="11"/>
        <v>2.7669111999999999E-2</v>
      </c>
      <c r="T160" s="24">
        <f t="shared" si="12"/>
        <v>1.7236496E-2</v>
      </c>
      <c r="U160" s="5">
        <v>27.3</v>
      </c>
      <c r="V160" s="1">
        <v>54.3</v>
      </c>
      <c r="W160" s="1">
        <v>0.51</v>
      </c>
      <c r="X160" s="1">
        <v>0.25</v>
      </c>
      <c r="Y160" s="1">
        <v>6.7</v>
      </c>
      <c r="Z160" s="1">
        <v>0.22</v>
      </c>
      <c r="AA160" s="6">
        <v>0.14000000000000001</v>
      </c>
    </row>
    <row r="161" spans="1:27">
      <c r="A161" s="3"/>
      <c r="D161" s="15">
        <v>1400</v>
      </c>
      <c r="E161" s="1">
        <f t="shared" si="7"/>
        <v>635.02880000000005</v>
      </c>
      <c r="G161" s="32">
        <v>15.68</v>
      </c>
      <c r="H161" s="25">
        <v>11.4</v>
      </c>
      <c r="I161" s="25">
        <v>1.6</v>
      </c>
      <c r="J161" s="25">
        <v>1.9</v>
      </c>
      <c r="K161" s="25">
        <v>6.3E-2</v>
      </c>
      <c r="L161" s="33">
        <v>0.04</v>
      </c>
      <c r="M161" s="42"/>
      <c r="N161" s="24">
        <f t="shared" si="8"/>
        <v>7.11232256</v>
      </c>
      <c r="O161" s="40"/>
      <c r="P161" s="40"/>
      <c r="Q161" s="24">
        <f t="shared" si="9"/>
        <v>0.72574720000000004</v>
      </c>
      <c r="R161" s="24">
        <f t="shared" si="10"/>
        <v>0.86182479999999995</v>
      </c>
      <c r="S161" s="24">
        <f t="shared" si="11"/>
        <v>2.8576296000000001E-2</v>
      </c>
      <c r="T161" s="24">
        <f t="shared" si="12"/>
        <v>1.8143679999999999E-2</v>
      </c>
      <c r="U161" s="5">
        <v>28.9</v>
      </c>
      <c r="V161" s="1">
        <v>54.3</v>
      </c>
      <c r="W161" s="1">
        <v>0.51</v>
      </c>
      <c r="X161" s="1">
        <v>0.25</v>
      </c>
      <c r="Y161" s="1">
        <v>6.6</v>
      </c>
      <c r="Z161" s="1">
        <v>0.22</v>
      </c>
      <c r="AA161" s="6">
        <v>0.14000000000000001</v>
      </c>
    </row>
    <row r="162" spans="1:27">
      <c r="A162" s="3"/>
      <c r="D162" s="15">
        <v>1500</v>
      </c>
      <c r="E162" s="1">
        <f t="shared" si="7"/>
        <v>680.38800000000003</v>
      </c>
      <c r="G162" s="32">
        <v>16.510000000000002</v>
      </c>
      <c r="H162" s="25">
        <v>12</v>
      </c>
      <c r="I162" s="25">
        <v>1.7</v>
      </c>
      <c r="J162" s="25">
        <v>1.97</v>
      </c>
      <c r="K162" s="25">
        <v>6.5000000000000002E-2</v>
      </c>
      <c r="L162" s="33">
        <v>4.2000000000000003E-2</v>
      </c>
      <c r="M162" s="42"/>
      <c r="N162" s="24">
        <f t="shared" si="8"/>
        <v>7.4888039200000005</v>
      </c>
      <c r="O162" s="40"/>
      <c r="P162" s="40"/>
      <c r="Q162" s="24">
        <f t="shared" si="9"/>
        <v>0.77110639999999997</v>
      </c>
      <c r="R162" s="24">
        <f t="shared" si="10"/>
        <v>0.89357624000000002</v>
      </c>
      <c r="S162" s="24">
        <f t="shared" si="11"/>
        <v>2.9483479999999999E-2</v>
      </c>
      <c r="T162" s="24">
        <f t="shared" si="12"/>
        <v>1.9050864000000001E-2</v>
      </c>
      <c r="U162" s="5">
        <v>30.4</v>
      </c>
      <c r="V162" s="1">
        <v>54.3</v>
      </c>
      <c r="W162" s="1">
        <v>0.51</v>
      </c>
      <c r="X162" s="1">
        <v>0.25</v>
      </c>
      <c r="Y162" s="1">
        <v>6.5</v>
      </c>
      <c r="Z162" s="1">
        <v>0.21</v>
      </c>
      <c r="AA162" s="6">
        <v>0.14000000000000001</v>
      </c>
    </row>
    <row r="163" spans="1:27">
      <c r="A163" s="3"/>
      <c r="D163" s="15">
        <v>1600</v>
      </c>
      <c r="E163" s="1">
        <f t="shared" si="7"/>
        <v>725.74720000000002</v>
      </c>
      <c r="G163" s="32">
        <v>17.329999999999998</v>
      </c>
      <c r="H163" s="25">
        <v>12.6</v>
      </c>
      <c r="I163" s="25">
        <v>1.8</v>
      </c>
      <c r="J163" s="25">
        <v>2.04</v>
      </c>
      <c r="K163" s="25">
        <v>6.7000000000000004E-2</v>
      </c>
      <c r="L163" s="33">
        <v>4.3999999999999997E-2</v>
      </c>
      <c r="M163" s="42"/>
      <c r="N163" s="24">
        <f t="shared" si="8"/>
        <v>7.8607493599999989</v>
      </c>
      <c r="O163" s="40"/>
      <c r="P163" s="40"/>
      <c r="Q163" s="24">
        <f t="shared" si="9"/>
        <v>0.81646560000000001</v>
      </c>
      <c r="R163" s="24">
        <f t="shared" si="10"/>
        <v>0.92532767999999999</v>
      </c>
      <c r="S163" s="24">
        <f t="shared" si="11"/>
        <v>3.0390664000000001E-2</v>
      </c>
      <c r="T163" s="24">
        <f t="shared" si="12"/>
        <v>1.9958047999999999E-2</v>
      </c>
      <c r="U163" s="5">
        <v>31.9</v>
      </c>
      <c r="V163" s="1">
        <v>54.3</v>
      </c>
      <c r="W163" s="1">
        <v>0.51</v>
      </c>
      <c r="X163" s="1">
        <v>0.25</v>
      </c>
      <c r="Y163" s="1">
        <v>6.4</v>
      </c>
      <c r="Z163" s="1">
        <v>0.21</v>
      </c>
      <c r="AA163" s="6">
        <v>0.14000000000000001</v>
      </c>
    </row>
    <row r="164" spans="1:27">
      <c r="A164" s="3"/>
      <c r="D164" s="15">
        <v>1700</v>
      </c>
      <c r="E164" s="1">
        <f t="shared" si="7"/>
        <v>771.10640000000001</v>
      </c>
      <c r="G164" s="32">
        <v>18.149999999999999</v>
      </c>
      <c r="H164" s="25">
        <v>13.2</v>
      </c>
      <c r="I164" s="25">
        <v>1.9</v>
      </c>
      <c r="J164" s="25">
        <v>2.1</v>
      </c>
      <c r="K164" s="25">
        <v>6.9000000000000006E-2</v>
      </c>
      <c r="L164" s="33">
        <v>4.5999999999999999E-2</v>
      </c>
      <c r="M164" s="42"/>
      <c r="N164" s="24">
        <f t="shared" si="8"/>
        <v>8.2326947999999991</v>
      </c>
      <c r="O164" s="40"/>
      <c r="P164" s="40"/>
      <c r="Q164" s="24">
        <f t="shared" si="9"/>
        <v>0.86182479999999995</v>
      </c>
      <c r="R164" s="24">
        <f t="shared" si="10"/>
        <v>0.95254320000000003</v>
      </c>
      <c r="S164" s="24">
        <f t="shared" si="11"/>
        <v>3.1297848000000003E-2</v>
      </c>
      <c r="T164" s="24">
        <f t="shared" si="12"/>
        <v>2.0865232000000001E-2</v>
      </c>
      <c r="U164" s="5">
        <v>33.4</v>
      </c>
      <c r="V164" s="1">
        <v>54.3</v>
      </c>
      <c r="W164" s="1">
        <v>0.51</v>
      </c>
      <c r="X164" s="1">
        <v>0.25</v>
      </c>
      <c r="Y164" s="1">
        <v>6.3</v>
      </c>
      <c r="Z164" s="1">
        <v>0.21</v>
      </c>
      <c r="AA164" s="6">
        <v>0.14000000000000001</v>
      </c>
    </row>
    <row r="165" spans="1:27">
      <c r="A165" s="3"/>
      <c r="D165" s="15">
        <v>1800</v>
      </c>
      <c r="E165" s="1">
        <f t="shared" si="7"/>
        <v>816.46559999999999</v>
      </c>
      <c r="G165" s="32">
        <v>18.96</v>
      </c>
      <c r="H165" s="25">
        <v>13.8</v>
      </c>
      <c r="I165" s="25">
        <v>2</v>
      </c>
      <c r="J165" s="25">
        <v>2.17</v>
      </c>
      <c r="K165" s="25">
        <v>7.1999999999999995E-2</v>
      </c>
      <c r="L165" s="33">
        <v>4.8000000000000001E-2</v>
      </c>
      <c r="M165" s="42"/>
      <c r="N165" s="24">
        <f t="shared" si="8"/>
        <v>8.6001043199999998</v>
      </c>
      <c r="O165" s="40"/>
      <c r="P165" s="40"/>
      <c r="Q165" s="24">
        <f t="shared" si="9"/>
        <v>0.90718399999999999</v>
      </c>
      <c r="R165" s="24">
        <f t="shared" si="10"/>
        <v>0.98429464</v>
      </c>
      <c r="S165" s="24">
        <f t="shared" si="11"/>
        <v>3.2658623999999997E-2</v>
      </c>
      <c r="T165" s="24">
        <f t="shared" si="12"/>
        <v>2.1772415999999999E-2</v>
      </c>
      <c r="U165" s="5">
        <v>34.9</v>
      </c>
      <c r="V165" s="1">
        <v>54.3</v>
      </c>
      <c r="W165" s="1">
        <v>0.51</v>
      </c>
      <c r="X165" s="1">
        <v>0.25</v>
      </c>
      <c r="Y165" s="1">
        <v>6.2</v>
      </c>
      <c r="Z165" s="1">
        <v>0.21</v>
      </c>
      <c r="AA165" s="6">
        <v>0.14000000000000001</v>
      </c>
    </row>
    <row r="166" spans="1:27">
      <c r="A166" s="3"/>
      <c r="D166" s="1">
        <v>900</v>
      </c>
      <c r="E166" s="1">
        <f t="shared" si="7"/>
        <v>408.2328</v>
      </c>
      <c r="F166" s="25">
        <v>1.5</v>
      </c>
      <c r="G166" s="32">
        <v>12.03</v>
      </c>
      <c r="H166" s="25">
        <v>8.1999999999999993</v>
      </c>
      <c r="I166" s="25">
        <v>1.8</v>
      </c>
      <c r="J166" s="25">
        <v>1.75</v>
      </c>
      <c r="K166" s="25">
        <v>6.5000000000000002E-2</v>
      </c>
      <c r="L166" s="33">
        <v>3.5999999999999997E-2</v>
      </c>
      <c r="M166" s="42"/>
      <c r="N166" s="24">
        <f t="shared" si="8"/>
        <v>5.4567117599999992</v>
      </c>
      <c r="O166" s="40"/>
      <c r="P166" s="40"/>
      <c r="Q166" s="24">
        <f t="shared" si="9"/>
        <v>0.81646560000000001</v>
      </c>
      <c r="R166" s="24">
        <f t="shared" si="10"/>
        <v>0.79378599999999999</v>
      </c>
      <c r="S166" s="24">
        <f t="shared" si="11"/>
        <v>2.9483479999999999E-2</v>
      </c>
      <c r="T166" s="24">
        <f t="shared" si="12"/>
        <v>1.6329311999999999E-2</v>
      </c>
      <c r="U166" s="5">
        <v>21</v>
      </c>
      <c r="V166" s="1">
        <v>57.2</v>
      </c>
      <c r="W166" s="1">
        <v>0.55000000000000004</v>
      </c>
      <c r="X166" s="1">
        <v>0.3</v>
      </c>
      <c r="Y166" s="1">
        <v>8.3000000000000007</v>
      </c>
      <c r="Z166" s="1">
        <v>0.31</v>
      </c>
      <c r="AA166" s="6">
        <v>0.17</v>
      </c>
    </row>
    <row r="167" spans="1:27">
      <c r="A167" s="3"/>
      <c r="D167" s="15">
        <v>1000</v>
      </c>
      <c r="E167" s="1">
        <f t="shared" si="7"/>
        <v>453.59199999999998</v>
      </c>
      <c r="G167" s="32">
        <v>13.03</v>
      </c>
      <c r="H167" s="25">
        <v>8.9</v>
      </c>
      <c r="I167" s="25">
        <v>2</v>
      </c>
      <c r="J167" s="25">
        <v>1.82</v>
      </c>
      <c r="K167" s="25">
        <v>6.6000000000000003E-2</v>
      </c>
      <c r="L167" s="33">
        <v>3.6999999999999998E-2</v>
      </c>
      <c r="M167" s="42"/>
      <c r="N167" s="24">
        <f t="shared" si="8"/>
        <v>5.9103037599999997</v>
      </c>
      <c r="O167" s="40"/>
      <c r="P167" s="40"/>
      <c r="Q167" s="24">
        <f t="shared" si="9"/>
        <v>0.90718399999999999</v>
      </c>
      <c r="R167" s="24">
        <f t="shared" si="10"/>
        <v>0.82553744000000007</v>
      </c>
      <c r="S167" s="24">
        <f t="shared" si="11"/>
        <v>2.9937072000000002E-2</v>
      </c>
      <c r="T167" s="24">
        <f t="shared" si="12"/>
        <v>1.6782903999999998E-2</v>
      </c>
      <c r="U167" s="5">
        <v>22.8</v>
      </c>
      <c r="V167" s="1">
        <v>57.2</v>
      </c>
      <c r="W167" s="1">
        <v>0.55000000000000004</v>
      </c>
      <c r="X167" s="1">
        <v>0.3</v>
      </c>
      <c r="Y167" s="1">
        <v>8</v>
      </c>
      <c r="Z167" s="1">
        <v>0.28999999999999998</v>
      </c>
      <c r="AA167" s="6">
        <v>0.16</v>
      </c>
    </row>
    <row r="168" spans="1:27">
      <c r="A168" s="3"/>
      <c r="D168" s="15">
        <v>1100</v>
      </c>
      <c r="E168" s="1">
        <f t="shared" si="7"/>
        <v>498.95119999999997</v>
      </c>
      <c r="G168" s="32">
        <v>13.97</v>
      </c>
      <c r="H168" s="25">
        <v>9.5</v>
      </c>
      <c r="I168" s="25">
        <v>2.1</v>
      </c>
      <c r="J168" s="25">
        <v>1.89</v>
      </c>
      <c r="K168" s="25">
        <v>6.8000000000000005E-2</v>
      </c>
      <c r="L168" s="33">
        <v>3.9E-2</v>
      </c>
      <c r="M168" s="42"/>
      <c r="N168" s="24">
        <f t="shared" si="8"/>
        <v>6.3366802400000006</v>
      </c>
      <c r="O168" s="40"/>
      <c r="P168" s="40"/>
      <c r="Q168" s="24">
        <f t="shared" si="9"/>
        <v>0.95254320000000003</v>
      </c>
      <c r="R168" s="24">
        <f t="shared" si="10"/>
        <v>0.85728887999999992</v>
      </c>
      <c r="S168" s="24">
        <f t="shared" si="11"/>
        <v>3.0844256E-2</v>
      </c>
      <c r="T168" s="24">
        <f t="shared" si="12"/>
        <v>1.7690088E-2</v>
      </c>
      <c r="U168" s="5">
        <v>24.5</v>
      </c>
      <c r="V168" s="1">
        <v>57.1</v>
      </c>
      <c r="W168" s="1">
        <v>0.55000000000000004</v>
      </c>
      <c r="X168" s="1">
        <v>0.28999999999999998</v>
      </c>
      <c r="Y168" s="1">
        <v>7.7</v>
      </c>
      <c r="Z168" s="1">
        <v>0.28000000000000003</v>
      </c>
      <c r="AA168" s="6">
        <v>0.16</v>
      </c>
    </row>
    <row r="169" spans="1:27">
      <c r="A169" s="3"/>
      <c r="D169" s="15">
        <v>1200</v>
      </c>
      <c r="E169" s="1">
        <f t="shared" si="7"/>
        <v>544.31039999999996</v>
      </c>
      <c r="G169" s="32">
        <v>14.94</v>
      </c>
      <c r="H169" s="25">
        <v>10.199999999999999</v>
      </c>
      <c r="I169" s="25">
        <v>2.2999999999999998</v>
      </c>
      <c r="J169" s="25">
        <v>1.95</v>
      </c>
      <c r="K169" s="25">
        <v>6.9000000000000006E-2</v>
      </c>
      <c r="L169" s="33">
        <v>4.1000000000000002E-2</v>
      </c>
      <c r="M169" s="42"/>
      <c r="N169" s="24">
        <f t="shared" si="8"/>
        <v>6.77666448</v>
      </c>
      <c r="O169" s="40"/>
      <c r="P169" s="40"/>
      <c r="Q169" s="24">
        <f t="shared" si="9"/>
        <v>1.0432615999999999</v>
      </c>
      <c r="R169" s="24">
        <f t="shared" si="10"/>
        <v>0.88450439999999997</v>
      </c>
      <c r="S169" s="24">
        <f t="shared" si="11"/>
        <v>3.1297848000000003E-2</v>
      </c>
      <c r="T169" s="24">
        <f t="shared" si="12"/>
        <v>1.8597272000000001E-2</v>
      </c>
      <c r="U169" s="5">
        <v>26.1</v>
      </c>
      <c r="V169" s="1">
        <v>57.2</v>
      </c>
      <c r="W169" s="1">
        <v>0.55000000000000004</v>
      </c>
      <c r="X169" s="1">
        <v>0.3</v>
      </c>
      <c r="Y169" s="1">
        <v>7.5</v>
      </c>
      <c r="Z169" s="1">
        <v>0.27</v>
      </c>
      <c r="AA169" s="6">
        <v>0.16</v>
      </c>
    </row>
    <row r="170" spans="1:27">
      <c r="A170" s="3"/>
      <c r="D170" s="15">
        <v>1300</v>
      </c>
      <c r="E170" s="1">
        <f t="shared" si="7"/>
        <v>589.66959999999995</v>
      </c>
      <c r="G170" s="32">
        <v>15.86</v>
      </c>
      <c r="H170" s="25">
        <v>10.8</v>
      </c>
      <c r="I170" s="25">
        <v>2.4</v>
      </c>
      <c r="J170" s="25">
        <v>2.0099999999999998</v>
      </c>
      <c r="K170" s="25">
        <v>7.0999999999999994E-2</v>
      </c>
      <c r="L170" s="33">
        <v>4.2999999999999997E-2</v>
      </c>
      <c r="M170" s="42"/>
      <c r="N170" s="24">
        <f t="shared" si="8"/>
        <v>7.1939691199999993</v>
      </c>
      <c r="O170" s="40"/>
      <c r="P170" s="40"/>
      <c r="Q170" s="24">
        <f t="shared" si="9"/>
        <v>1.0886207999999999</v>
      </c>
      <c r="R170" s="24">
        <f t="shared" si="10"/>
        <v>0.91171991999999991</v>
      </c>
      <c r="S170" s="24">
        <f t="shared" si="11"/>
        <v>3.2205031999999995E-2</v>
      </c>
      <c r="T170" s="24">
        <f t="shared" si="12"/>
        <v>1.9504456E-2</v>
      </c>
      <c r="U170" s="5">
        <v>27.7</v>
      </c>
      <c r="V170" s="1">
        <v>57.2</v>
      </c>
      <c r="W170" s="1">
        <v>0.55000000000000004</v>
      </c>
      <c r="X170" s="1">
        <v>0.3</v>
      </c>
      <c r="Y170" s="1">
        <v>7.3</v>
      </c>
      <c r="Z170" s="1">
        <v>0.26</v>
      </c>
      <c r="AA170" s="6">
        <v>0.15</v>
      </c>
    </row>
    <row r="171" spans="1:27">
      <c r="A171" s="3"/>
      <c r="D171" s="15">
        <v>1400</v>
      </c>
      <c r="E171" s="1">
        <f t="shared" si="7"/>
        <v>635.02880000000005</v>
      </c>
      <c r="G171" s="32">
        <v>16.739999999999998</v>
      </c>
      <c r="H171" s="25">
        <v>11.4</v>
      </c>
      <c r="I171" s="25">
        <v>2.5</v>
      </c>
      <c r="J171" s="25">
        <v>2.0699999999999998</v>
      </c>
      <c r="K171" s="25">
        <v>7.2999999999999995E-2</v>
      </c>
      <c r="L171" s="33">
        <v>4.3999999999999997E-2</v>
      </c>
      <c r="M171" s="42"/>
      <c r="N171" s="24">
        <f t="shared" si="8"/>
        <v>7.593130079999999</v>
      </c>
      <c r="O171" s="40"/>
      <c r="P171" s="40"/>
      <c r="Q171" s="24">
        <f t="shared" si="9"/>
        <v>1.13398</v>
      </c>
      <c r="R171" s="24">
        <f t="shared" si="10"/>
        <v>0.93893543999999995</v>
      </c>
      <c r="S171" s="24">
        <f t="shared" si="11"/>
        <v>3.3112216E-2</v>
      </c>
      <c r="T171" s="24">
        <f t="shared" si="12"/>
        <v>1.9958047999999999E-2</v>
      </c>
      <c r="U171" s="5">
        <v>29.3</v>
      </c>
      <c r="V171" s="1">
        <v>57.1</v>
      </c>
      <c r="W171" s="1">
        <v>0.55000000000000004</v>
      </c>
      <c r="X171" s="1">
        <v>0.28999999999999998</v>
      </c>
      <c r="Y171" s="1">
        <v>7.1</v>
      </c>
      <c r="Z171" s="1">
        <v>0.25</v>
      </c>
      <c r="AA171" s="6">
        <v>0.15</v>
      </c>
    </row>
    <row r="172" spans="1:27">
      <c r="A172" s="3"/>
      <c r="D172" s="15">
        <v>1500</v>
      </c>
      <c r="E172" s="1">
        <f t="shared" si="7"/>
        <v>680.38800000000003</v>
      </c>
      <c r="G172" s="32">
        <v>17.64</v>
      </c>
      <c r="H172" s="25">
        <v>12</v>
      </c>
      <c r="I172" s="25">
        <v>2.6</v>
      </c>
      <c r="J172" s="25">
        <v>2.13</v>
      </c>
      <c r="K172" s="25">
        <v>7.4999999999999997E-2</v>
      </c>
      <c r="L172" s="33">
        <v>4.5999999999999999E-2</v>
      </c>
      <c r="M172" s="42"/>
      <c r="N172" s="24">
        <f t="shared" si="8"/>
        <v>8.0013628800000003</v>
      </c>
      <c r="O172" s="40"/>
      <c r="P172" s="40"/>
      <c r="Q172" s="24">
        <f t="shared" si="9"/>
        <v>1.1793392</v>
      </c>
      <c r="R172" s="24">
        <f t="shared" si="10"/>
        <v>0.96615095999999989</v>
      </c>
      <c r="S172" s="24">
        <f t="shared" si="11"/>
        <v>3.4019399999999998E-2</v>
      </c>
      <c r="T172" s="24">
        <f t="shared" si="12"/>
        <v>2.0865232000000001E-2</v>
      </c>
      <c r="U172" s="5">
        <v>30.9</v>
      </c>
      <c r="V172" s="1">
        <v>57.1</v>
      </c>
      <c r="W172" s="1">
        <v>0.55000000000000004</v>
      </c>
      <c r="X172" s="1">
        <v>0.28999999999999998</v>
      </c>
      <c r="Y172" s="1">
        <v>6.9</v>
      </c>
      <c r="Z172" s="1">
        <v>0.24</v>
      </c>
      <c r="AA172" s="6">
        <v>0.15</v>
      </c>
    </row>
    <row r="173" spans="1:27">
      <c r="A173" s="3"/>
      <c r="D173" s="15">
        <v>1600</v>
      </c>
      <c r="E173" s="1">
        <f t="shared" si="7"/>
        <v>725.74720000000002</v>
      </c>
      <c r="G173" s="32">
        <v>18.510000000000002</v>
      </c>
      <c r="H173" s="25">
        <v>12.6</v>
      </c>
      <c r="I173" s="25">
        <v>2.8</v>
      </c>
      <c r="J173" s="25">
        <v>2.19</v>
      </c>
      <c r="K173" s="25">
        <v>7.5999999999999998E-2</v>
      </c>
      <c r="L173" s="33">
        <v>4.8000000000000001E-2</v>
      </c>
      <c r="M173" s="42"/>
      <c r="N173" s="24">
        <f t="shared" si="8"/>
        <v>8.3959879200000014</v>
      </c>
      <c r="O173" s="40"/>
      <c r="P173" s="40"/>
      <c r="Q173" s="24">
        <f t="shared" si="9"/>
        <v>1.2700575999999999</v>
      </c>
      <c r="R173" s="24">
        <f t="shared" si="10"/>
        <v>0.99336647999999994</v>
      </c>
      <c r="S173" s="24">
        <f t="shared" si="11"/>
        <v>3.4472992000000001E-2</v>
      </c>
      <c r="T173" s="24">
        <f t="shared" si="12"/>
        <v>2.1772415999999999E-2</v>
      </c>
      <c r="U173" s="5">
        <v>32.4</v>
      </c>
      <c r="V173" s="1">
        <v>57.1</v>
      </c>
      <c r="W173" s="1">
        <v>0.55000000000000004</v>
      </c>
      <c r="X173" s="1">
        <v>0.28999999999999998</v>
      </c>
      <c r="Y173" s="1">
        <v>6.8</v>
      </c>
      <c r="Z173" s="1">
        <v>0.24</v>
      </c>
      <c r="AA173" s="6">
        <v>0.15</v>
      </c>
    </row>
    <row r="174" spans="1:27">
      <c r="A174" s="3"/>
      <c r="D174" s="15">
        <v>1700</v>
      </c>
      <c r="E174" s="1">
        <f t="shared" si="7"/>
        <v>771.10640000000001</v>
      </c>
      <c r="G174" s="32">
        <v>19.38</v>
      </c>
      <c r="H174" s="25">
        <v>13.2</v>
      </c>
      <c r="I174" s="25">
        <v>2.9</v>
      </c>
      <c r="J174" s="25">
        <v>2.25</v>
      </c>
      <c r="K174" s="25">
        <v>7.8E-2</v>
      </c>
      <c r="L174" s="33">
        <v>0.05</v>
      </c>
      <c r="M174" s="42"/>
      <c r="N174" s="24">
        <f t="shared" si="8"/>
        <v>8.7906129599999989</v>
      </c>
      <c r="O174" s="40"/>
      <c r="P174" s="40"/>
      <c r="Q174" s="24">
        <f t="shared" si="9"/>
        <v>1.3154167999999999</v>
      </c>
      <c r="R174" s="24">
        <f t="shared" si="10"/>
        <v>1.0205820000000001</v>
      </c>
      <c r="S174" s="24">
        <f t="shared" si="11"/>
        <v>3.5380175999999999E-2</v>
      </c>
      <c r="T174" s="24">
        <f t="shared" si="12"/>
        <v>2.2679600000000001E-2</v>
      </c>
      <c r="U174" s="5">
        <v>33.9</v>
      </c>
      <c r="V174" s="1">
        <v>57.1</v>
      </c>
      <c r="W174" s="1">
        <v>0.55000000000000004</v>
      </c>
      <c r="X174" s="1">
        <v>0.28999999999999998</v>
      </c>
      <c r="Y174" s="1">
        <v>6.6</v>
      </c>
      <c r="Z174" s="1">
        <v>0.23</v>
      </c>
      <c r="AA174" s="6">
        <v>0.15</v>
      </c>
    </row>
    <row r="175" spans="1:27">
      <c r="A175" s="3"/>
      <c r="D175" s="15">
        <v>1800</v>
      </c>
      <c r="E175" s="1">
        <f t="shared" si="7"/>
        <v>816.46559999999999</v>
      </c>
      <c r="G175" s="32">
        <v>20.239999999999998</v>
      </c>
      <c r="H175" s="25">
        <v>13.8</v>
      </c>
      <c r="I175" s="25">
        <v>3.1</v>
      </c>
      <c r="J175" s="25">
        <v>2.31</v>
      </c>
      <c r="K175" s="25">
        <v>0.08</v>
      </c>
      <c r="L175" s="33">
        <v>5.0999999999999997E-2</v>
      </c>
      <c r="M175" s="42"/>
      <c r="N175" s="24">
        <f t="shared" si="8"/>
        <v>9.1807020799999997</v>
      </c>
      <c r="O175" s="40"/>
      <c r="P175" s="40"/>
      <c r="Q175" s="24">
        <f t="shared" si="9"/>
        <v>1.4061352</v>
      </c>
      <c r="R175" s="24">
        <f t="shared" si="10"/>
        <v>1.04779752</v>
      </c>
      <c r="S175" s="24">
        <f t="shared" si="11"/>
        <v>3.6287359999999998E-2</v>
      </c>
      <c r="T175" s="24">
        <f t="shared" si="12"/>
        <v>2.3133191999999997E-2</v>
      </c>
      <c r="U175" s="5">
        <v>35.4</v>
      </c>
      <c r="V175" s="1">
        <v>57.2</v>
      </c>
      <c r="W175" s="1">
        <v>0.55000000000000004</v>
      </c>
      <c r="X175" s="1">
        <v>0.3</v>
      </c>
      <c r="Y175" s="1">
        <v>6.5</v>
      </c>
      <c r="Z175" s="1">
        <v>0.23</v>
      </c>
      <c r="AA175" s="6">
        <v>0.15</v>
      </c>
    </row>
    <row r="176" spans="1:27">
      <c r="A176" s="3"/>
      <c r="D176" s="1">
        <v>900</v>
      </c>
      <c r="E176" s="1">
        <f t="shared" si="7"/>
        <v>408.2328</v>
      </c>
      <c r="F176" s="25">
        <v>2</v>
      </c>
      <c r="G176" s="32">
        <v>12.74</v>
      </c>
      <c r="H176" s="25">
        <v>8.1999999999999993</v>
      </c>
      <c r="I176" s="25">
        <v>2.6</v>
      </c>
      <c r="J176" s="25">
        <v>1.96</v>
      </c>
      <c r="K176" s="25">
        <v>7.6999999999999999E-2</v>
      </c>
      <c r="L176" s="33">
        <v>4.1000000000000002E-2</v>
      </c>
      <c r="M176" s="42"/>
      <c r="N176" s="24">
        <f t="shared" si="8"/>
        <v>5.7787620799999999</v>
      </c>
      <c r="O176" s="40"/>
      <c r="P176" s="40"/>
      <c r="Q176" s="24">
        <f t="shared" si="9"/>
        <v>1.1793392</v>
      </c>
      <c r="R176" s="24">
        <f t="shared" si="10"/>
        <v>0.88904032</v>
      </c>
      <c r="S176" s="24">
        <f t="shared" si="11"/>
        <v>3.4926583999999997E-2</v>
      </c>
      <c r="T176" s="24">
        <f t="shared" si="12"/>
        <v>1.8597272000000001E-2</v>
      </c>
      <c r="U176" s="5">
        <v>21.2</v>
      </c>
      <c r="V176" s="1">
        <v>60.1</v>
      </c>
      <c r="W176" s="1">
        <v>0.6</v>
      </c>
      <c r="X176" s="1">
        <v>0.34</v>
      </c>
      <c r="Y176" s="1">
        <v>9.3000000000000007</v>
      </c>
      <c r="Z176" s="1">
        <v>0.36</v>
      </c>
      <c r="AA176" s="6">
        <v>0.19</v>
      </c>
    </row>
    <row r="177" spans="1:27">
      <c r="A177" s="3"/>
      <c r="D177" s="15">
        <v>1000</v>
      </c>
      <c r="E177" s="1">
        <f t="shared" ref="E177:E215" si="13">D177*$H$2</f>
        <v>453.59199999999998</v>
      </c>
      <c r="G177" s="32">
        <v>13.8</v>
      </c>
      <c r="H177" s="25">
        <v>8.9</v>
      </c>
      <c r="I177" s="25">
        <v>2.7</v>
      </c>
      <c r="J177" s="25">
        <v>2.02</v>
      </c>
      <c r="K177" s="25">
        <v>7.8E-2</v>
      </c>
      <c r="L177" s="33">
        <v>4.2000000000000003E-2</v>
      </c>
      <c r="M177" s="42"/>
      <c r="N177" s="24">
        <f t="shared" si="8"/>
        <v>6.2595695999999998</v>
      </c>
      <c r="O177" s="40"/>
      <c r="P177" s="40"/>
      <c r="Q177" s="24">
        <f t="shared" si="9"/>
        <v>1.2246984000000001</v>
      </c>
      <c r="R177" s="24">
        <f t="shared" si="10"/>
        <v>0.91625584000000004</v>
      </c>
      <c r="S177" s="24">
        <f t="shared" si="11"/>
        <v>3.5380175999999999E-2</v>
      </c>
      <c r="T177" s="24">
        <f t="shared" si="12"/>
        <v>1.9050864000000001E-2</v>
      </c>
      <c r="U177" s="5">
        <v>22.9</v>
      </c>
      <c r="V177" s="1">
        <v>60.2</v>
      </c>
      <c r="W177" s="1">
        <v>0.6</v>
      </c>
      <c r="X177" s="1">
        <v>0.34</v>
      </c>
      <c r="Y177" s="1">
        <v>8.8000000000000007</v>
      </c>
      <c r="Z177" s="1">
        <v>0.34</v>
      </c>
      <c r="AA177" s="6">
        <v>0.18</v>
      </c>
    </row>
    <row r="178" spans="1:27">
      <c r="A178" s="3"/>
      <c r="D178" s="15">
        <v>1100</v>
      </c>
      <c r="E178" s="1">
        <f t="shared" si="13"/>
        <v>498.95119999999997</v>
      </c>
      <c r="G178" s="32">
        <v>14.79</v>
      </c>
      <c r="H178" s="25">
        <v>9.5</v>
      </c>
      <c r="I178" s="25">
        <v>3</v>
      </c>
      <c r="J178" s="25">
        <v>2.08</v>
      </c>
      <c r="K178" s="25">
        <v>7.9000000000000001E-2</v>
      </c>
      <c r="L178" s="33">
        <v>4.3999999999999997E-2</v>
      </c>
      <c r="M178" s="42"/>
      <c r="N178" s="24">
        <f t="shared" si="8"/>
        <v>6.7086256799999999</v>
      </c>
      <c r="O178" s="40"/>
      <c r="P178" s="40"/>
      <c r="Q178" s="24">
        <f t="shared" si="9"/>
        <v>1.360776</v>
      </c>
      <c r="R178" s="24">
        <f t="shared" si="10"/>
        <v>0.94347135999999998</v>
      </c>
      <c r="S178" s="24">
        <f t="shared" si="11"/>
        <v>3.5833768000000002E-2</v>
      </c>
      <c r="T178" s="24">
        <f t="shared" si="12"/>
        <v>1.9958047999999999E-2</v>
      </c>
      <c r="U178" s="5">
        <v>24.6</v>
      </c>
      <c r="V178" s="1">
        <v>60.1</v>
      </c>
      <c r="W178" s="1">
        <v>0.6</v>
      </c>
      <c r="X178" s="1">
        <v>0.34</v>
      </c>
      <c r="Y178" s="1">
        <v>8.4</v>
      </c>
      <c r="Z178" s="1">
        <v>0.32</v>
      </c>
      <c r="AA178" s="6">
        <v>0.18</v>
      </c>
    </row>
    <row r="179" spans="1:27">
      <c r="A179" s="3"/>
      <c r="D179" s="15">
        <v>1200</v>
      </c>
      <c r="E179" s="1">
        <f t="shared" si="13"/>
        <v>544.31039999999996</v>
      </c>
      <c r="G179" s="32">
        <v>15.82</v>
      </c>
      <c r="H179" s="25">
        <v>10.199999999999999</v>
      </c>
      <c r="I179" s="25">
        <v>3.2</v>
      </c>
      <c r="J179" s="25">
        <v>2.13</v>
      </c>
      <c r="K179" s="25">
        <v>0.08</v>
      </c>
      <c r="L179" s="33">
        <v>4.4999999999999998E-2</v>
      </c>
      <c r="M179" s="42"/>
      <c r="N179" s="24">
        <f t="shared" si="8"/>
        <v>7.1758254399999997</v>
      </c>
      <c r="O179" s="40"/>
      <c r="P179" s="40"/>
      <c r="Q179" s="24">
        <f t="shared" si="9"/>
        <v>1.4514944000000001</v>
      </c>
      <c r="R179" s="24">
        <f t="shared" si="10"/>
        <v>0.96615095999999989</v>
      </c>
      <c r="S179" s="24">
        <f t="shared" si="11"/>
        <v>3.6287359999999998E-2</v>
      </c>
      <c r="T179" s="24">
        <f t="shared" si="12"/>
        <v>2.0411639999999998E-2</v>
      </c>
      <c r="U179" s="5">
        <v>26.3</v>
      </c>
      <c r="V179" s="1">
        <v>60.2</v>
      </c>
      <c r="W179" s="1">
        <v>0.6</v>
      </c>
      <c r="X179" s="1">
        <v>0.34</v>
      </c>
      <c r="Y179" s="1">
        <v>8.1</v>
      </c>
      <c r="Z179" s="1">
        <v>0.3</v>
      </c>
      <c r="AA179" s="6">
        <v>0.17</v>
      </c>
    </row>
    <row r="180" spans="1:27">
      <c r="A180" s="3"/>
      <c r="D180" s="15">
        <v>1300</v>
      </c>
      <c r="E180" s="1">
        <f t="shared" si="13"/>
        <v>589.66959999999995</v>
      </c>
      <c r="G180" s="32">
        <v>16.79</v>
      </c>
      <c r="H180" s="25">
        <v>10.8</v>
      </c>
      <c r="I180" s="25">
        <v>3.4</v>
      </c>
      <c r="J180" s="25">
        <v>2.19</v>
      </c>
      <c r="K180" s="25">
        <v>8.1000000000000003E-2</v>
      </c>
      <c r="L180" s="33">
        <v>4.7E-2</v>
      </c>
      <c r="M180" s="42"/>
      <c r="N180" s="24">
        <f t="shared" si="8"/>
        <v>7.6158096799999999</v>
      </c>
      <c r="O180" s="40"/>
      <c r="P180" s="40"/>
      <c r="Q180" s="24">
        <f t="shared" si="9"/>
        <v>1.5422127999999999</v>
      </c>
      <c r="R180" s="24">
        <f t="shared" si="10"/>
        <v>0.99336647999999994</v>
      </c>
      <c r="S180" s="24">
        <f t="shared" si="11"/>
        <v>3.6740952E-2</v>
      </c>
      <c r="T180" s="24">
        <f t="shared" si="12"/>
        <v>2.1318824E-2</v>
      </c>
      <c r="U180" s="5">
        <v>27.9</v>
      </c>
      <c r="V180" s="1">
        <v>60.1</v>
      </c>
      <c r="W180" s="1">
        <v>0.6</v>
      </c>
      <c r="X180" s="1">
        <v>0.34</v>
      </c>
      <c r="Y180" s="1">
        <v>7.8</v>
      </c>
      <c r="Z180" s="1">
        <v>0.28999999999999998</v>
      </c>
      <c r="AA180" s="6">
        <v>0.17</v>
      </c>
    </row>
    <row r="181" spans="1:27">
      <c r="A181" s="3"/>
      <c r="D181" s="15">
        <v>1400</v>
      </c>
      <c r="E181" s="1">
        <f t="shared" si="13"/>
        <v>635.02880000000005</v>
      </c>
      <c r="G181" s="32">
        <v>17.739999999999998</v>
      </c>
      <c r="H181" s="25">
        <v>11.4</v>
      </c>
      <c r="I181" s="25">
        <v>3.6</v>
      </c>
      <c r="J181" s="25">
        <v>2.2400000000000002</v>
      </c>
      <c r="K181" s="25">
        <v>8.2000000000000003E-2</v>
      </c>
      <c r="L181" s="33">
        <v>4.8000000000000001E-2</v>
      </c>
      <c r="M181" s="42"/>
      <c r="N181" s="24">
        <f t="shared" si="8"/>
        <v>8.0467220799999986</v>
      </c>
      <c r="O181" s="40"/>
      <c r="P181" s="40"/>
      <c r="Q181" s="24">
        <f t="shared" si="9"/>
        <v>1.6329312</v>
      </c>
      <c r="R181" s="24">
        <f t="shared" si="10"/>
        <v>1.0160460800000002</v>
      </c>
      <c r="S181" s="24">
        <f t="shared" si="11"/>
        <v>3.7194544000000003E-2</v>
      </c>
      <c r="T181" s="24">
        <f t="shared" si="12"/>
        <v>2.1772415999999999E-2</v>
      </c>
      <c r="U181" s="5">
        <v>29.5</v>
      </c>
      <c r="V181" s="1">
        <v>60.1</v>
      </c>
      <c r="W181" s="1">
        <v>0.6</v>
      </c>
      <c r="X181" s="1">
        <v>0.34</v>
      </c>
      <c r="Y181" s="1">
        <v>7.6</v>
      </c>
      <c r="Z181" s="1">
        <v>0.28000000000000003</v>
      </c>
      <c r="AA181" s="6">
        <v>0.16</v>
      </c>
    </row>
    <row r="182" spans="1:27">
      <c r="A182" s="3"/>
      <c r="D182" s="15">
        <v>1500</v>
      </c>
      <c r="E182" s="1">
        <f t="shared" si="13"/>
        <v>680.38800000000003</v>
      </c>
      <c r="G182" s="32">
        <v>18.670000000000002</v>
      </c>
      <c r="H182" s="25">
        <v>12</v>
      </c>
      <c r="I182" s="25">
        <v>3.8</v>
      </c>
      <c r="J182" s="25">
        <v>2.29</v>
      </c>
      <c r="K182" s="25">
        <v>8.4000000000000005E-2</v>
      </c>
      <c r="L182" s="33">
        <v>0.05</v>
      </c>
      <c r="M182" s="42"/>
      <c r="N182" s="24">
        <f t="shared" si="8"/>
        <v>8.46856264</v>
      </c>
      <c r="O182" s="40"/>
      <c r="P182" s="40"/>
      <c r="Q182" s="24">
        <f t="shared" si="9"/>
        <v>1.7236495999999999</v>
      </c>
      <c r="R182" s="24">
        <f t="shared" si="10"/>
        <v>1.03872568</v>
      </c>
      <c r="S182" s="24">
        <f t="shared" si="11"/>
        <v>3.8101728000000001E-2</v>
      </c>
      <c r="T182" s="24">
        <f t="shared" si="12"/>
        <v>2.2679600000000001E-2</v>
      </c>
      <c r="U182" s="5">
        <v>31.1</v>
      </c>
      <c r="V182" s="1">
        <v>60.1</v>
      </c>
      <c r="W182" s="1">
        <v>0.6</v>
      </c>
      <c r="X182" s="1">
        <v>0.34</v>
      </c>
      <c r="Y182" s="1">
        <v>7.4</v>
      </c>
      <c r="Z182" s="1">
        <v>0.27</v>
      </c>
      <c r="AA182" s="6">
        <v>0.16</v>
      </c>
    </row>
    <row r="183" spans="1:27">
      <c r="A183" s="3"/>
      <c r="D183" s="15">
        <v>1600</v>
      </c>
      <c r="E183" s="1">
        <f t="shared" si="13"/>
        <v>725.74720000000002</v>
      </c>
      <c r="G183" s="32">
        <v>19.600000000000001</v>
      </c>
      <c r="H183" s="25">
        <v>12.6</v>
      </c>
      <c r="I183" s="25">
        <v>3.9</v>
      </c>
      <c r="J183" s="25">
        <v>2.34</v>
      </c>
      <c r="K183" s="25">
        <v>8.5000000000000006E-2</v>
      </c>
      <c r="L183" s="33">
        <v>5.0999999999999997E-2</v>
      </c>
      <c r="M183" s="42"/>
      <c r="N183" s="24">
        <f t="shared" si="8"/>
        <v>8.8904031999999997</v>
      </c>
      <c r="O183" s="40"/>
      <c r="P183" s="40"/>
      <c r="Q183" s="24">
        <f t="shared" si="9"/>
        <v>1.7690087999999999</v>
      </c>
      <c r="R183" s="24">
        <f t="shared" si="10"/>
        <v>1.06140528</v>
      </c>
      <c r="S183" s="24">
        <f t="shared" si="11"/>
        <v>3.8555320000000004E-2</v>
      </c>
      <c r="T183" s="24">
        <f t="shared" si="12"/>
        <v>2.3133191999999997E-2</v>
      </c>
      <c r="U183" s="5">
        <v>32.6</v>
      </c>
      <c r="V183" s="1">
        <v>60.1</v>
      </c>
      <c r="W183" s="1">
        <v>0.6</v>
      </c>
      <c r="X183" s="1">
        <v>0.34</v>
      </c>
      <c r="Y183" s="1">
        <v>7.2</v>
      </c>
      <c r="Z183" s="1">
        <v>0.26</v>
      </c>
      <c r="AA183" s="6">
        <v>0.16</v>
      </c>
    </row>
    <row r="184" spans="1:27">
      <c r="A184" s="3"/>
      <c r="D184" s="15">
        <v>1700</v>
      </c>
      <c r="E184" s="1">
        <f t="shared" si="13"/>
        <v>771.10640000000001</v>
      </c>
      <c r="G184" s="32">
        <v>20.52</v>
      </c>
      <c r="H184" s="25">
        <v>13.2</v>
      </c>
      <c r="I184" s="25">
        <v>4.0999999999999996</v>
      </c>
      <c r="J184" s="25">
        <v>2.39</v>
      </c>
      <c r="K184" s="25">
        <v>8.5999999999999993E-2</v>
      </c>
      <c r="L184" s="33">
        <v>5.2999999999999999E-2</v>
      </c>
      <c r="M184" s="42"/>
      <c r="N184" s="24">
        <f t="shared" si="8"/>
        <v>9.3077078399999991</v>
      </c>
      <c r="O184" s="40"/>
      <c r="P184" s="40"/>
      <c r="Q184" s="24">
        <f t="shared" si="9"/>
        <v>1.8597271999999998</v>
      </c>
      <c r="R184" s="24">
        <f t="shared" si="10"/>
        <v>1.08408488</v>
      </c>
      <c r="S184" s="24">
        <f t="shared" si="11"/>
        <v>3.9008912E-2</v>
      </c>
      <c r="T184" s="24">
        <f t="shared" si="12"/>
        <v>2.4040375999999999E-2</v>
      </c>
      <c r="U184" s="5">
        <v>34.1</v>
      </c>
      <c r="V184" s="1">
        <v>60.1</v>
      </c>
      <c r="W184" s="1">
        <v>0.6</v>
      </c>
      <c r="X184" s="1">
        <v>0.34</v>
      </c>
      <c r="Y184" s="1">
        <v>7</v>
      </c>
      <c r="Z184" s="1">
        <v>0.25</v>
      </c>
      <c r="AA184" s="6">
        <v>0.16</v>
      </c>
    </row>
    <row r="185" spans="1:27">
      <c r="A185" s="3"/>
      <c r="D185" s="15">
        <v>1800</v>
      </c>
      <c r="E185" s="1">
        <f t="shared" si="13"/>
        <v>816.46559999999999</v>
      </c>
      <c r="G185" s="32">
        <v>21.43</v>
      </c>
      <c r="H185" s="25">
        <v>13.8</v>
      </c>
      <c r="I185" s="25">
        <v>4.3</v>
      </c>
      <c r="J185" s="25">
        <v>2.44</v>
      </c>
      <c r="K185" s="25">
        <v>8.7999999999999995E-2</v>
      </c>
      <c r="L185" s="33">
        <v>5.5E-2</v>
      </c>
      <c r="M185" s="42"/>
      <c r="N185" s="24">
        <f t="shared" si="8"/>
        <v>9.7204765599999998</v>
      </c>
      <c r="O185" s="40"/>
      <c r="P185" s="40"/>
      <c r="Q185" s="24">
        <f t="shared" si="9"/>
        <v>1.9504455999999999</v>
      </c>
      <c r="R185" s="24">
        <f t="shared" si="10"/>
        <v>1.1067644800000001</v>
      </c>
      <c r="S185" s="24">
        <f t="shared" si="11"/>
        <v>3.9916095999999998E-2</v>
      </c>
      <c r="T185" s="24">
        <f t="shared" si="12"/>
        <v>2.4947560000000001E-2</v>
      </c>
      <c r="U185" s="5">
        <v>35.6</v>
      </c>
      <c r="V185" s="1">
        <v>60.1</v>
      </c>
      <c r="W185" s="1">
        <v>0.6</v>
      </c>
      <c r="X185" s="1">
        <v>0.34</v>
      </c>
      <c r="Y185" s="1">
        <v>6.9</v>
      </c>
      <c r="Z185" s="1">
        <v>0.25</v>
      </c>
      <c r="AA185" s="6">
        <v>0.15</v>
      </c>
    </row>
    <row r="186" spans="1:27">
      <c r="A186" s="3"/>
      <c r="D186" s="1">
        <v>900</v>
      </c>
      <c r="E186" s="1">
        <f t="shared" si="13"/>
        <v>408.2328</v>
      </c>
      <c r="F186" s="25">
        <v>2.5</v>
      </c>
      <c r="G186" s="32">
        <v>13.41</v>
      </c>
      <c r="H186" s="25">
        <v>8.1999999999999993</v>
      </c>
      <c r="I186" s="25">
        <v>3.2</v>
      </c>
      <c r="J186" s="25">
        <v>2.17</v>
      </c>
      <c r="K186" s="25">
        <v>8.8999999999999996E-2</v>
      </c>
      <c r="L186" s="33">
        <v>4.4999999999999998E-2</v>
      </c>
      <c r="M186" s="42"/>
      <c r="N186" s="24">
        <f t="shared" si="8"/>
        <v>6.08266872</v>
      </c>
      <c r="O186" s="40"/>
      <c r="P186" s="40"/>
      <c r="Q186" s="24">
        <f t="shared" si="9"/>
        <v>1.4514944000000001</v>
      </c>
      <c r="R186" s="24">
        <f t="shared" si="10"/>
        <v>0.98429464</v>
      </c>
      <c r="S186" s="24">
        <f t="shared" si="11"/>
        <v>4.0369688000000001E-2</v>
      </c>
      <c r="T186" s="24">
        <f t="shared" si="12"/>
        <v>2.0411639999999998E-2</v>
      </c>
      <c r="U186" s="5">
        <v>21.2</v>
      </c>
      <c r="V186" s="1">
        <v>63.3</v>
      </c>
      <c r="W186" s="1">
        <v>0.64</v>
      </c>
      <c r="X186" s="1">
        <v>0.38</v>
      </c>
      <c r="Y186" s="1">
        <v>10.199999999999999</v>
      </c>
      <c r="Z186" s="1">
        <v>0.42</v>
      </c>
      <c r="AA186" s="6">
        <v>0.21</v>
      </c>
    </row>
    <row r="187" spans="1:27">
      <c r="A187" s="3"/>
      <c r="D187" s="15">
        <v>1000</v>
      </c>
      <c r="E187" s="1">
        <f t="shared" si="13"/>
        <v>453.59199999999998</v>
      </c>
      <c r="G187" s="32">
        <v>14.52</v>
      </c>
      <c r="H187" s="25">
        <v>8.9</v>
      </c>
      <c r="I187" s="25">
        <v>3.5</v>
      </c>
      <c r="J187" s="25">
        <v>2.21</v>
      </c>
      <c r="K187" s="25">
        <v>8.8999999999999996E-2</v>
      </c>
      <c r="L187" s="33">
        <v>4.7E-2</v>
      </c>
      <c r="M187" s="42"/>
      <c r="N187" s="24">
        <f t="shared" si="8"/>
        <v>6.58615584</v>
      </c>
      <c r="O187" s="40"/>
      <c r="P187" s="40"/>
      <c r="Q187" s="24">
        <f t="shared" si="9"/>
        <v>1.587572</v>
      </c>
      <c r="R187" s="24">
        <f t="shared" si="10"/>
        <v>1.00243832</v>
      </c>
      <c r="S187" s="24">
        <f t="shared" si="11"/>
        <v>4.0369688000000001E-2</v>
      </c>
      <c r="T187" s="24">
        <f t="shared" si="12"/>
        <v>2.1318824E-2</v>
      </c>
      <c r="U187" s="5">
        <v>22.9</v>
      </c>
      <c r="V187" s="1">
        <v>63.3</v>
      </c>
      <c r="W187" s="1">
        <v>0.65</v>
      </c>
      <c r="X187" s="1">
        <v>0.38</v>
      </c>
      <c r="Y187" s="1">
        <v>9.6999999999999993</v>
      </c>
      <c r="Z187" s="1">
        <v>0.39</v>
      </c>
      <c r="AA187" s="6">
        <v>0.2</v>
      </c>
    </row>
    <row r="188" spans="1:27">
      <c r="A188" s="3"/>
      <c r="D188" s="15">
        <v>1100</v>
      </c>
      <c r="E188" s="1">
        <f t="shared" si="13"/>
        <v>498.95119999999997</v>
      </c>
      <c r="G188" s="32">
        <v>15.56</v>
      </c>
      <c r="H188" s="25">
        <v>9.5</v>
      </c>
      <c r="I188" s="25">
        <v>3.7</v>
      </c>
      <c r="J188" s="25">
        <v>2.2599999999999998</v>
      </c>
      <c r="K188" s="25">
        <v>0.09</v>
      </c>
      <c r="L188" s="33">
        <v>4.8000000000000001E-2</v>
      </c>
      <c r="M188" s="42"/>
      <c r="N188" s="24">
        <f t="shared" si="8"/>
        <v>7.0578915200000001</v>
      </c>
      <c r="O188" s="40"/>
      <c r="P188" s="40"/>
      <c r="Q188" s="24">
        <f t="shared" si="9"/>
        <v>1.6782904000000001</v>
      </c>
      <c r="R188" s="24">
        <f t="shared" si="10"/>
        <v>1.0251179199999998</v>
      </c>
      <c r="S188" s="24">
        <f t="shared" si="11"/>
        <v>4.0823279999999997E-2</v>
      </c>
      <c r="T188" s="24">
        <f t="shared" si="12"/>
        <v>2.1772415999999999E-2</v>
      </c>
      <c r="U188" s="5">
        <v>24.6</v>
      </c>
      <c r="V188" s="1">
        <v>63.2</v>
      </c>
      <c r="W188" s="1">
        <v>0.64</v>
      </c>
      <c r="X188" s="1">
        <v>0.38</v>
      </c>
      <c r="Y188" s="1">
        <v>9.1999999999999993</v>
      </c>
      <c r="Z188" s="1">
        <v>0.36</v>
      </c>
      <c r="AA188" s="6">
        <v>0.19</v>
      </c>
    </row>
    <row r="189" spans="1:27">
      <c r="A189" s="3"/>
      <c r="D189" s="15">
        <v>1200</v>
      </c>
      <c r="E189" s="1">
        <f t="shared" si="13"/>
        <v>544.31039999999996</v>
      </c>
      <c r="G189" s="32">
        <v>16.649999999999999</v>
      </c>
      <c r="H189" s="25">
        <v>10.199999999999999</v>
      </c>
      <c r="I189" s="25">
        <v>4</v>
      </c>
      <c r="J189" s="25">
        <v>2.31</v>
      </c>
      <c r="K189" s="25">
        <v>0.09</v>
      </c>
      <c r="L189" s="33">
        <v>4.9000000000000002E-2</v>
      </c>
      <c r="M189" s="42"/>
      <c r="N189" s="24">
        <f t="shared" si="8"/>
        <v>7.5523067999999993</v>
      </c>
      <c r="O189" s="40"/>
      <c r="P189" s="40"/>
      <c r="Q189" s="24">
        <f t="shared" si="9"/>
        <v>1.814368</v>
      </c>
      <c r="R189" s="24">
        <f t="shared" si="10"/>
        <v>1.04779752</v>
      </c>
      <c r="S189" s="24">
        <f t="shared" si="11"/>
        <v>4.0823279999999997E-2</v>
      </c>
      <c r="T189" s="24">
        <f t="shared" si="12"/>
        <v>2.2226008000000002E-2</v>
      </c>
      <c r="U189" s="5">
        <v>26.3</v>
      </c>
      <c r="V189" s="1">
        <v>63.3</v>
      </c>
      <c r="W189" s="1">
        <v>0.65</v>
      </c>
      <c r="X189" s="1">
        <v>0.38</v>
      </c>
      <c r="Y189" s="1">
        <v>8.8000000000000007</v>
      </c>
      <c r="Z189" s="1">
        <v>0.34</v>
      </c>
      <c r="AA189" s="6">
        <v>0.19</v>
      </c>
    </row>
    <row r="190" spans="1:27">
      <c r="A190" s="3"/>
      <c r="D190" s="15">
        <v>1300</v>
      </c>
      <c r="E190" s="1">
        <f t="shared" si="13"/>
        <v>589.66959999999995</v>
      </c>
      <c r="G190" s="32">
        <v>17.66</v>
      </c>
      <c r="H190" s="25">
        <v>10.8</v>
      </c>
      <c r="I190" s="25">
        <v>4.2</v>
      </c>
      <c r="J190" s="25">
        <v>2.35</v>
      </c>
      <c r="K190" s="25">
        <v>9.0999999999999998E-2</v>
      </c>
      <c r="L190" s="33">
        <v>5.0999999999999997E-2</v>
      </c>
      <c r="M190" s="42"/>
      <c r="N190" s="24">
        <f t="shared" si="8"/>
        <v>8.0104347199999992</v>
      </c>
      <c r="O190" s="40"/>
      <c r="P190" s="40"/>
      <c r="Q190" s="24">
        <f t="shared" si="9"/>
        <v>1.9050864000000001</v>
      </c>
      <c r="R190" s="24">
        <f t="shared" si="10"/>
        <v>1.0659411999999999</v>
      </c>
      <c r="S190" s="24">
        <f t="shared" si="11"/>
        <v>4.1276871999999999E-2</v>
      </c>
      <c r="T190" s="24">
        <f t="shared" si="12"/>
        <v>2.3133191999999997E-2</v>
      </c>
      <c r="U190" s="5">
        <v>27.9</v>
      </c>
      <c r="V190" s="1">
        <v>63.3</v>
      </c>
      <c r="W190" s="1">
        <v>0.64</v>
      </c>
      <c r="X190" s="1">
        <v>0.38</v>
      </c>
      <c r="Y190" s="1">
        <v>8.4</v>
      </c>
      <c r="Z190" s="1">
        <v>0.33</v>
      </c>
      <c r="AA190" s="6">
        <v>0.18</v>
      </c>
    </row>
    <row r="191" spans="1:27">
      <c r="A191" s="3"/>
      <c r="D191" s="15">
        <v>1400</v>
      </c>
      <c r="E191" s="1">
        <f t="shared" si="13"/>
        <v>635.02880000000005</v>
      </c>
      <c r="G191" s="32">
        <v>18.66</v>
      </c>
      <c r="H191" s="25">
        <v>11.4</v>
      </c>
      <c r="I191" s="25">
        <v>4.4000000000000004</v>
      </c>
      <c r="J191" s="25">
        <v>2.4</v>
      </c>
      <c r="K191" s="25">
        <v>9.1999999999999998E-2</v>
      </c>
      <c r="L191" s="33">
        <v>5.1999999999999998E-2</v>
      </c>
      <c r="M191" s="42"/>
      <c r="N191" s="24">
        <f t="shared" si="8"/>
        <v>8.4640267199999997</v>
      </c>
      <c r="O191" s="40"/>
      <c r="P191" s="40"/>
      <c r="Q191" s="24">
        <f t="shared" si="9"/>
        <v>1.9958048000000002</v>
      </c>
      <c r="R191" s="24">
        <f t="shared" si="10"/>
        <v>1.0886207999999999</v>
      </c>
      <c r="S191" s="24">
        <f t="shared" si="11"/>
        <v>4.1730464000000002E-2</v>
      </c>
      <c r="T191" s="24">
        <f t="shared" si="12"/>
        <v>2.3586784E-2</v>
      </c>
      <c r="U191" s="5">
        <v>29.5</v>
      </c>
      <c r="V191" s="1">
        <v>63.2</v>
      </c>
      <c r="W191" s="1">
        <v>0.64</v>
      </c>
      <c r="X191" s="1">
        <v>0.38</v>
      </c>
      <c r="Y191" s="1">
        <v>8.1</v>
      </c>
      <c r="Z191" s="1">
        <v>0.31</v>
      </c>
      <c r="AA191" s="6">
        <v>0.18</v>
      </c>
    </row>
    <row r="192" spans="1:27">
      <c r="A192" s="3"/>
      <c r="D192" s="15">
        <v>1500</v>
      </c>
      <c r="E192" s="1">
        <f t="shared" si="13"/>
        <v>680.38800000000003</v>
      </c>
      <c r="G192" s="32">
        <v>19.64</v>
      </c>
      <c r="H192" s="25">
        <v>12</v>
      </c>
      <c r="I192" s="25">
        <v>4.7</v>
      </c>
      <c r="J192" s="25">
        <v>2.44</v>
      </c>
      <c r="K192" s="25">
        <v>9.2999999999999999E-2</v>
      </c>
      <c r="L192" s="33">
        <v>5.2999999999999999E-2</v>
      </c>
      <c r="M192" s="42"/>
      <c r="N192" s="24">
        <f t="shared" si="8"/>
        <v>8.9085468799999994</v>
      </c>
      <c r="O192" s="40"/>
      <c r="P192" s="40"/>
      <c r="Q192" s="24">
        <f t="shared" si="9"/>
        <v>2.1318823999999998</v>
      </c>
      <c r="R192" s="24">
        <f t="shared" si="10"/>
        <v>1.1067644800000001</v>
      </c>
      <c r="S192" s="24">
        <f t="shared" si="11"/>
        <v>4.2184055999999998E-2</v>
      </c>
      <c r="T192" s="24">
        <f t="shared" si="12"/>
        <v>2.4040375999999999E-2</v>
      </c>
      <c r="U192" s="5">
        <v>31.1</v>
      </c>
      <c r="V192" s="1">
        <v>63.2</v>
      </c>
      <c r="W192" s="1">
        <v>0.64</v>
      </c>
      <c r="X192" s="1">
        <v>0.38</v>
      </c>
      <c r="Y192" s="1">
        <v>7.9</v>
      </c>
      <c r="Z192" s="1">
        <v>0.3</v>
      </c>
      <c r="AA192" s="6">
        <v>0.17</v>
      </c>
    </row>
    <row r="193" spans="1:27">
      <c r="A193" s="3"/>
      <c r="D193" s="15">
        <v>1600</v>
      </c>
      <c r="E193" s="1">
        <f t="shared" si="13"/>
        <v>725.74720000000002</v>
      </c>
      <c r="G193" s="32">
        <v>20.63</v>
      </c>
      <c r="H193" s="25">
        <v>12.6</v>
      </c>
      <c r="I193" s="25">
        <v>4.9000000000000004</v>
      </c>
      <c r="J193" s="25">
        <v>2.4900000000000002</v>
      </c>
      <c r="K193" s="25">
        <v>9.2999999999999999E-2</v>
      </c>
      <c r="L193" s="33">
        <v>5.5E-2</v>
      </c>
      <c r="M193" s="42"/>
      <c r="N193" s="24">
        <f t="shared" si="8"/>
        <v>9.3576029599999995</v>
      </c>
      <c r="O193" s="40"/>
      <c r="P193" s="40"/>
      <c r="Q193" s="24">
        <f t="shared" si="9"/>
        <v>2.2226007999999999</v>
      </c>
      <c r="R193" s="24">
        <f t="shared" si="10"/>
        <v>1.1294440800000001</v>
      </c>
      <c r="S193" s="24">
        <f t="shared" si="11"/>
        <v>4.2184055999999998E-2</v>
      </c>
      <c r="T193" s="24">
        <f t="shared" si="12"/>
        <v>2.4947560000000001E-2</v>
      </c>
      <c r="U193" s="5">
        <v>32.6</v>
      </c>
      <c r="V193" s="1">
        <v>63.2</v>
      </c>
      <c r="W193" s="1">
        <v>0.64</v>
      </c>
      <c r="X193" s="1">
        <v>0.38</v>
      </c>
      <c r="Y193" s="1">
        <v>7.6</v>
      </c>
      <c r="Z193" s="1">
        <v>0.28999999999999998</v>
      </c>
      <c r="AA193" s="6">
        <v>0.17</v>
      </c>
    </row>
    <row r="194" spans="1:27">
      <c r="A194" s="3"/>
      <c r="D194" s="15">
        <v>1700</v>
      </c>
      <c r="E194" s="1">
        <f t="shared" si="13"/>
        <v>771.10640000000001</v>
      </c>
      <c r="G194" s="32">
        <v>21.59</v>
      </c>
      <c r="H194" s="25">
        <v>13.2</v>
      </c>
      <c r="I194" s="25">
        <v>5.0999999999999996</v>
      </c>
      <c r="J194" s="25">
        <v>2.5299999999999998</v>
      </c>
      <c r="K194" s="25">
        <v>9.4E-2</v>
      </c>
      <c r="L194" s="33">
        <v>5.6000000000000001E-2</v>
      </c>
      <c r="M194" s="42"/>
      <c r="N194" s="24">
        <f t="shared" si="8"/>
        <v>9.7930512800000002</v>
      </c>
      <c r="O194" s="40"/>
      <c r="P194" s="40"/>
      <c r="Q194" s="24">
        <f t="shared" si="9"/>
        <v>2.3133192</v>
      </c>
      <c r="R194" s="24">
        <f t="shared" si="10"/>
        <v>1.14758776</v>
      </c>
      <c r="S194" s="24">
        <f t="shared" si="11"/>
        <v>4.2637648E-2</v>
      </c>
      <c r="T194" s="24">
        <f t="shared" si="12"/>
        <v>2.5401152E-2</v>
      </c>
      <c r="U194" s="5">
        <v>34.1</v>
      </c>
      <c r="V194" s="1">
        <v>63.2</v>
      </c>
      <c r="W194" s="1">
        <v>0.64</v>
      </c>
      <c r="X194" s="1">
        <v>0.38</v>
      </c>
      <c r="Y194" s="1">
        <v>7.4</v>
      </c>
      <c r="Z194" s="1">
        <v>0.28000000000000003</v>
      </c>
      <c r="AA194" s="6">
        <v>0.16</v>
      </c>
    </row>
    <row r="195" spans="1:27">
      <c r="A195" s="3"/>
      <c r="D195" s="15">
        <v>1800</v>
      </c>
      <c r="E195" s="1">
        <f t="shared" si="13"/>
        <v>816.46559999999999</v>
      </c>
      <c r="G195" s="32">
        <v>22.55</v>
      </c>
      <c r="H195" s="25">
        <v>13.8</v>
      </c>
      <c r="I195" s="25">
        <v>5.3</v>
      </c>
      <c r="J195" s="25">
        <v>2.57</v>
      </c>
      <c r="K195" s="25">
        <v>9.5000000000000001E-2</v>
      </c>
      <c r="L195" s="33">
        <v>5.8000000000000003E-2</v>
      </c>
      <c r="M195" s="42"/>
      <c r="N195" s="24">
        <f t="shared" si="8"/>
        <v>10.228499600000001</v>
      </c>
      <c r="O195" s="40"/>
      <c r="P195" s="40"/>
      <c r="Q195" s="24">
        <f t="shared" si="9"/>
        <v>2.4040376000000001</v>
      </c>
      <c r="R195" s="24">
        <f t="shared" si="10"/>
        <v>1.1657314399999998</v>
      </c>
      <c r="S195" s="24">
        <f t="shared" si="11"/>
        <v>4.3091240000000003E-2</v>
      </c>
      <c r="T195" s="24">
        <f t="shared" si="12"/>
        <v>2.6308336000000002E-2</v>
      </c>
      <c r="U195" s="5">
        <v>35.6</v>
      </c>
      <c r="V195" s="1">
        <v>63.3</v>
      </c>
      <c r="W195" s="1">
        <v>0.64</v>
      </c>
      <c r="X195" s="1">
        <v>0.38</v>
      </c>
      <c r="Y195" s="1">
        <v>7.2</v>
      </c>
      <c r="Z195" s="1">
        <v>0.27</v>
      </c>
      <c r="AA195" s="6">
        <v>0.16</v>
      </c>
    </row>
    <row r="196" spans="1:27">
      <c r="A196" s="3"/>
      <c r="D196" s="1">
        <v>900</v>
      </c>
      <c r="E196" s="1">
        <f t="shared" si="13"/>
        <v>408.2328</v>
      </c>
      <c r="F196" s="25">
        <v>3</v>
      </c>
      <c r="G196" s="32">
        <v>14.04</v>
      </c>
      <c r="H196" s="25">
        <v>8.1999999999999993</v>
      </c>
      <c r="I196" s="25">
        <v>3.9</v>
      </c>
      <c r="J196" s="25">
        <v>2.37</v>
      </c>
      <c r="K196" s="25">
        <v>0.1</v>
      </c>
      <c r="L196" s="33">
        <v>0.05</v>
      </c>
      <c r="M196" s="42"/>
      <c r="N196" s="24">
        <f t="shared" si="8"/>
        <v>6.3684316799999996</v>
      </c>
      <c r="O196" s="40"/>
      <c r="P196" s="40"/>
      <c r="Q196" s="24">
        <f t="shared" si="9"/>
        <v>1.7690087999999999</v>
      </c>
      <c r="R196" s="24">
        <f t="shared" si="10"/>
        <v>1.07501304</v>
      </c>
      <c r="S196" s="24">
        <f t="shared" si="11"/>
        <v>4.5359200000000002E-2</v>
      </c>
      <c r="T196" s="24">
        <f t="shared" si="12"/>
        <v>2.2679600000000001E-2</v>
      </c>
      <c r="U196" s="5">
        <v>21.1</v>
      </c>
      <c r="V196" s="1">
        <v>66.599999999999994</v>
      </c>
      <c r="W196" s="1">
        <v>0.69</v>
      </c>
      <c r="X196" s="1">
        <v>0.42</v>
      </c>
      <c r="Y196" s="1">
        <v>11.2</v>
      </c>
      <c r="Z196" s="1">
        <v>0.48</v>
      </c>
      <c r="AA196" s="6">
        <v>0.24</v>
      </c>
    </row>
    <row r="197" spans="1:27">
      <c r="A197" s="3"/>
      <c r="D197" s="15">
        <v>1000</v>
      </c>
      <c r="E197" s="1">
        <f t="shared" si="13"/>
        <v>453.59199999999998</v>
      </c>
      <c r="G197" s="32">
        <v>15.2</v>
      </c>
      <c r="H197" s="25">
        <v>8.9</v>
      </c>
      <c r="I197" s="25">
        <v>4.2</v>
      </c>
      <c r="J197" s="25">
        <v>2.41</v>
      </c>
      <c r="K197" s="25">
        <v>0.1</v>
      </c>
      <c r="L197" s="33">
        <v>5.0999999999999997E-2</v>
      </c>
      <c r="M197" s="42"/>
      <c r="N197" s="24">
        <f t="shared" si="8"/>
        <v>6.8945983999999996</v>
      </c>
      <c r="O197" s="40"/>
      <c r="P197" s="40"/>
      <c r="Q197" s="24">
        <f t="shared" si="9"/>
        <v>1.9050864000000001</v>
      </c>
      <c r="R197" s="24">
        <f t="shared" si="10"/>
        <v>1.0931567200000001</v>
      </c>
      <c r="S197" s="24">
        <f t="shared" si="11"/>
        <v>4.5359200000000002E-2</v>
      </c>
      <c r="T197" s="24">
        <f t="shared" si="12"/>
        <v>2.3133191999999997E-2</v>
      </c>
      <c r="U197" s="5">
        <v>22.8</v>
      </c>
      <c r="V197" s="1">
        <v>66.7</v>
      </c>
      <c r="W197" s="1">
        <v>0.69</v>
      </c>
      <c r="X197" s="1">
        <v>0.42</v>
      </c>
      <c r="Y197" s="1">
        <v>10.6</v>
      </c>
      <c r="Z197" s="1">
        <v>0.44</v>
      </c>
      <c r="AA197" s="6">
        <v>0.22</v>
      </c>
    </row>
    <row r="198" spans="1:27">
      <c r="A198" s="3"/>
      <c r="D198" s="15">
        <v>1100</v>
      </c>
      <c r="E198" s="1">
        <f t="shared" si="13"/>
        <v>498.95119999999997</v>
      </c>
      <c r="G198" s="32">
        <v>16.29</v>
      </c>
      <c r="H198" s="25">
        <v>9.5</v>
      </c>
      <c r="I198" s="25">
        <v>4.5</v>
      </c>
      <c r="J198" s="25">
        <v>2.4500000000000002</v>
      </c>
      <c r="K198" s="25">
        <v>0.1</v>
      </c>
      <c r="L198" s="33">
        <v>5.1999999999999998E-2</v>
      </c>
      <c r="M198" s="42"/>
      <c r="N198" s="24">
        <f t="shared" si="8"/>
        <v>7.3890136799999997</v>
      </c>
      <c r="O198" s="40"/>
      <c r="P198" s="40"/>
      <c r="Q198" s="24">
        <f t="shared" si="9"/>
        <v>2.0411640000000002</v>
      </c>
      <c r="R198" s="24">
        <f t="shared" si="10"/>
        <v>1.1113004</v>
      </c>
      <c r="S198" s="24">
        <f t="shared" si="11"/>
        <v>4.5359200000000002E-2</v>
      </c>
      <c r="T198" s="24">
        <f t="shared" si="12"/>
        <v>2.3586784E-2</v>
      </c>
      <c r="U198" s="5">
        <v>24.5</v>
      </c>
      <c r="V198" s="1">
        <v>66.5</v>
      </c>
      <c r="W198" s="1">
        <v>0.69</v>
      </c>
      <c r="X198" s="1">
        <v>0.42</v>
      </c>
      <c r="Y198" s="1">
        <v>10</v>
      </c>
      <c r="Z198" s="1">
        <v>0.41</v>
      </c>
      <c r="AA198" s="6">
        <v>0.21</v>
      </c>
    </row>
    <row r="199" spans="1:27">
      <c r="A199" s="3"/>
      <c r="D199" s="15">
        <v>1200</v>
      </c>
      <c r="E199" s="1">
        <f t="shared" si="13"/>
        <v>544.31039999999996</v>
      </c>
      <c r="G199" s="32">
        <v>17.43</v>
      </c>
      <c r="H199" s="25">
        <v>10.199999999999999</v>
      </c>
      <c r="I199" s="25">
        <v>4.8</v>
      </c>
      <c r="J199" s="25">
        <v>2.48</v>
      </c>
      <c r="K199" s="25">
        <v>0.1</v>
      </c>
      <c r="L199" s="33">
        <v>5.2999999999999999E-2</v>
      </c>
      <c r="M199" s="42"/>
      <c r="N199" s="24">
        <f t="shared" ref="N199:N220" si="14">G199*$H$2</f>
        <v>7.9061085599999998</v>
      </c>
      <c r="O199" s="40"/>
      <c r="P199" s="40"/>
      <c r="Q199" s="24">
        <f t="shared" ref="Q199:Q220" si="15">I199*$H$2</f>
        <v>2.1772415999999999</v>
      </c>
      <c r="R199" s="24">
        <f t="shared" ref="R199:R220" si="16">J199*$H$2</f>
        <v>1.1249081599999999</v>
      </c>
      <c r="S199" s="24">
        <f t="shared" ref="S199:S220" si="17">K199*$H$2</f>
        <v>4.5359200000000002E-2</v>
      </c>
      <c r="T199" s="24">
        <f t="shared" ref="T199:T220" si="18">L199*$H$2</f>
        <v>2.4040375999999999E-2</v>
      </c>
      <c r="U199" s="5">
        <v>26.1</v>
      </c>
      <c r="V199" s="1">
        <v>66.7</v>
      </c>
      <c r="W199" s="1">
        <v>0.69</v>
      </c>
      <c r="X199" s="1">
        <v>0.42</v>
      </c>
      <c r="Y199" s="1">
        <v>9.5</v>
      </c>
      <c r="Z199" s="1">
        <v>0.38</v>
      </c>
      <c r="AA199" s="6">
        <v>0.2</v>
      </c>
    </row>
    <row r="200" spans="1:27">
      <c r="A200" s="3"/>
      <c r="D200" s="15">
        <v>1300</v>
      </c>
      <c r="E200" s="1">
        <f t="shared" si="13"/>
        <v>589.66959999999995</v>
      </c>
      <c r="G200" s="32">
        <v>18.489999999999998</v>
      </c>
      <c r="H200" s="25">
        <v>10.8</v>
      </c>
      <c r="I200" s="25">
        <v>5.0999999999999996</v>
      </c>
      <c r="J200" s="25">
        <v>2.52</v>
      </c>
      <c r="K200" s="25">
        <v>0.10100000000000001</v>
      </c>
      <c r="L200" s="33">
        <v>5.5E-2</v>
      </c>
      <c r="M200" s="42"/>
      <c r="N200" s="24">
        <f t="shared" si="14"/>
        <v>8.3869160799999989</v>
      </c>
      <c r="O200" s="40"/>
      <c r="P200" s="40"/>
      <c r="Q200" s="24">
        <f t="shared" si="15"/>
        <v>2.3133192</v>
      </c>
      <c r="R200" s="24">
        <f t="shared" si="16"/>
        <v>1.14305184</v>
      </c>
      <c r="S200" s="24">
        <f t="shared" si="17"/>
        <v>4.5812792000000005E-2</v>
      </c>
      <c r="T200" s="24">
        <f t="shared" si="18"/>
        <v>2.4947560000000001E-2</v>
      </c>
      <c r="U200" s="5">
        <v>27.7</v>
      </c>
      <c r="V200" s="1">
        <v>66.599999999999994</v>
      </c>
      <c r="W200" s="1">
        <v>0.69</v>
      </c>
      <c r="X200" s="1">
        <v>0.42</v>
      </c>
      <c r="Y200" s="1">
        <v>9.1</v>
      </c>
      <c r="Z200" s="1">
        <v>0.36</v>
      </c>
      <c r="AA200" s="6">
        <v>0.2</v>
      </c>
    </row>
    <row r="201" spans="1:27">
      <c r="A201" s="3"/>
      <c r="D201" s="15">
        <v>1400</v>
      </c>
      <c r="E201" s="1">
        <f t="shared" si="13"/>
        <v>635.02880000000005</v>
      </c>
      <c r="G201" s="32">
        <v>19.54</v>
      </c>
      <c r="H201" s="25">
        <v>11.4</v>
      </c>
      <c r="I201" s="25">
        <v>5.4</v>
      </c>
      <c r="J201" s="25">
        <v>2.56</v>
      </c>
      <c r="K201" s="25">
        <v>0.10100000000000001</v>
      </c>
      <c r="L201" s="33">
        <v>5.6000000000000001E-2</v>
      </c>
      <c r="M201" s="42"/>
      <c r="N201" s="24">
        <f t="shared" si="14"/>
        <v>8.8631876799999993</v>
      </c>
      <c r="O201" s="40"/>
      <c r="P201" s="40"/>
      <c r="Q201" s="24">
        <f t="shared" si="15"/>
        <v>2.4493968000000002</v>
      </c>
      <c r="R201" s="24">
        <f t="shared" si="16"/>
        <v>1.1611955199999999</v>
      </c>
      <c r="S201" s="24">
        <f t="shared" si="17"/>
        <v>4.5812792000000005E-2</v>
      </c>
      <c r="T201" s="24">
        <f t="shared" si="18"/>
        <v>2.5401152E-2</v>
      </c>
      <c r="U201" s="5">
        <v>29.3</v>
      </c>
      <c r="V201" s="1">
        <v>66.599999999999994</v>
      </c>
      <c r="W201" s="1">
        <v>0.69</v>
      </c>
      <c r="X201" s="1">
        <v>0.42</v>
      </c>
      <c r="Y201" s="1">
        <v>8.6999999999999993</v>
      </c>
      <c r="Z201" s="1">
        <v>0.34</v>
      </c>
      <c r="AA201" s="6">
        <v>0.19</v>
      </c>
    </row>
    <row r="202" spans="1:27">
      <c r="A202" s="3"/>
      <c r="D202" s="15">
        <v>1500</v>
      </c>
      <c r="E202" s="1">
        <f t="shared" si="13"/>
        <v>680.38800000000003</v>
      </c>
      <c r="G202" s="32">
        <v>20.58</v>
      </c>
      <c r="H202" s="25">
        <v>12</v>
      </c>
      <c r="I202" s="25">
        <v>5.7</v>
      </c>
      <c r="J202" s="25">
        <v>2.59</v>
      </c>
      <c r="K202" s="25">
        <v>0.10100000000000001</v>
      </c>
      <c r="L202" s="33">
        <v>5.7000000000000002E-2</v>
      </c>
      <c r="M202" s="42"/>
      <c r="N202" s="24">
        <f t="shared" si="14"/>
        <v>9.3349233599999994</v>
      </c>
      <c r="O202" s="40"/>
      <c r="P202" s="40"/>
      <c r="Q202" s="24">
        <f t="shared" si="15"/>
        <v>2.5854743999999998</v>
      </c>
      <c r="R202" s="24">
        <f t="shared" si="16"/>
        <v>1.1748032799999999</v>
      </c>
      <c r="S202" s="24">
        <f t="shared" si="17"/>
        <v>4.5812792000000005E-2</v>
      </c>
      <c r="T202" s="24">
        <f t="shared" si="18"/>
        <v>2.5854743999999999E-2</v>
      </c>
      <c r="U202" s="5">
        <v>30.9</v>
      </c>
      <c r="V202" s="1">
        <v>66.599999999999994</v>
      </c>
      <c r="W202" s="1">
        <v>0.69</v>
      </c>
      <c r="X202" s="1">
        <v>0.42</v>
      </c>
      <c r="Y202" s="1">
        <v>8.4</v>
      </c>
      <c r="Z202" s="1">
        <v>0.33</v>
      </c>
      <c r="AA202" s="6">
        <v>0.18</v>
      </c>
    </row>
    <row r="203" spans="1:27">
      <c r="A203" s="3"/>
      <c r="D203" s="15">
        <v>1600</v>
      </c>
      <c r="E203" s="1">
        <f t="shared" si="13"/>
        <v>725.74720000000002</v>
      </c>
      <c r="G203" s="32">
        <v>21.59</v>
      </c>
      <c r="H203" s="25">
        <v>12.6</v>
      </c>
      <c r="I203" s="25">
        <v>5.9</v>
      </c>
      <c r="J203" s="25">
        <v>2.63</v>
      </c>
      <c r="K203" s="25">
        <v>0.10199999999999999</v>
      </c>
      <c r="L203" s="33">
        <v>5.8000000000000003E-2</v>
      </c>
      <c r="M203" s="42"/>
      <c r="N203" s="24">
        <f t="shared" si="14"/>
        <v>9.7930512800000002</v>
      </c>
      <c r="O203" s="40"/>
      <c r="P203" s="40"/>
      <c r="Q203" s="24">
        <f t="shared" si="15"/>
        <v>2.6761927999999999</v>
      </c>
      <c r="R203" s="24">
        <f t="shared" si="16"/>
        <v>1.19294696</v>
      </c>
      <c r="S203" s="24">
        <f t="shared" si="17"/>
        <v>4.6266383999999994E-2</v>
      </c>
      <c r="T203" s="24">
        <f t="shared" si="18"/>
        <v>2.6308336000000002E-2</v>
      </c>
      <c r="U203" s="5">
        <v>32.4</v>
      </c>
      <c r="V203" s="1">
        <v>66.599999999999994</v>
      </c>
      <c r="W203" s="1">
        <v>0.69</v>
      </c>
      <c r="X203" s="1">
        <v>0.42</v>
      </c>
      <c r="Y203" s="1">
        <v>8.1</v>
      </c>
      <c r="Z203" s="1">
        <v>0.31</v>
      </c>
      <c r="AA203" s="6">
        <v>0.18</v>
      </c>
    </row>
    <row r="204" spans="1:27">
      <c r="A204" s="3"/>
      <c r="D204" s="15">
        <v>1700</v>
      </c>
      <c r="E204" s="1">
        <f t="shared" si="13"/>
        <v>771.10640000000001</v>
      </c>
      <c r="G204" s="32">
        <v>22.61</v>
      </c>
      <c r="H204" s="25">
        <v>13.2</v>
      </c>
      <c r="I204" s="25">
        <v>6.2</v>
      </c>
      <c r="J204" s="25">
        <v>2.66</v>
      </c>
      <c r="K204" s="25">
        <v>0.10199999999999999</v>
      </c>
      <c r="L204" s="33">
        <v>5.8999999999999997E-2</v>
      </c>
      <c r="M204" s="42"/>
      <c r="N204" s="24">
        <f t="shared" si="14"/>
        <v>10.25571512</v>
      </c>
      <c r="O204" s="40"/>
      <c r="P204" s="40"/>
      <c r="Q204" s="24">
        <f t="shared" si="15"/>
        <v>2.8122704000000001</v>
      </c>
      <c r="R204" s="24">
        <f t="shared" si="16"/>
        <v>1.20655472</v>
      </c>
      <c r="S204" s="24">
        <f t="shared" si="17"/>
        <v>4.6266383999999994E-2</v>
      </c>
      <c r="T204" s="24">
        <f t="shared" si="18"/>
        <v>2.6761927999999997E-2</v>
      </c>
      <c r="U204" s="5">
        <v>33.9</v>
      </c>
      <c r="V204" s="1">
        <v>66.599999999999994</v>
      </c>
      <c r="W204" s="1">
        <v>0.69</v>
      </c>
      <c r="X204" s="1">
        <v>0.42</v>
      </c>
      <c r="Y204" s="1">
        <v>7.8</v>
      </c>
      <c r="Z204" s="1">
        <v>0.3</v>
      </c>
      <c r="AA204" s="6">
        <v>0.17</v>
      </c>
    </row>
    <row r="205" spans="1:27">
      <c r="A205" s="3"/>
      <c r="D205" s="15">
        <v>1800</v>
      </c>
      <c r="E205" s="1">
        <f t="shared" si="13"/>
        <v>816.46559999999999</v>
      </c>
      <c r="G205" s="32">
        <v>23.61</v>
      </c>
      <c r="H205" s="25">
        <v>13.8</v>
      </c>
      <c r="I205" s="25">
        <v>6.5</v>
      </c>
      <c r="J205" s="25">
        <v>2.7</v>
      </c>
      <c r="K205" s="25">
        <v>0.10199999999999999</v>
      </c>
      <c r="L205" s="33">
        <v>6.0999999999999999E-2</v>
      </c>
      <c r="M205" s="42"/>
      <c r="N205" s="24">
        <f t="shared" si="14"/>
        <v>10.70930712</v>
      </c>
      <c r="O205" s="40"/>
      <c r="P205" s="40"/>
      <c r="Q205" s="24">
        <f t="shared" si="15"/>
        <v>2.9483480000000002</v>
      </c>
      <c r="R205" s="24">
        <f t="shared" si="16"/>
        <v>1.2246984000000001</v>
      </c>
      <c r="S205" s="24">
        <f t="shared" si="17"/>
        <v>4.6266383999999994E-2</v>
      </c>
      <c r="T205" s="24">
        <f t="shared" si="18"/>
        <v>2.7669111999999999E-2</v>
      </c>
      <c r="U205" s="5">
        <v>35.4</v>
      </c>
      <c r="V205" s="1">
        <v>66.7</v>
      </c>
      <c r="W205" s="1">
        <v>0.69</v>
      </c>
      <c r="X205" s="1">
        <v>0.42</v>
      </c>
      <c r="Y205" s="1">
        <v>7.6</v>
      </c>
      <c r="Z205" s="1">
        <v>0.28999999999999998</v>
      </c>
      <c r="AA205" s="6">
        <v>0.17</v>
      </c>
    </row>
    <row r="206" spans="1:27">
      <c r="A206" s="3"/>
      <c r="D206" s="1">
        <v>900</v>
      </c>
      <c r="E206" s="1">
        <f t="shared" si="13"/>
        <v>408.2328</v>
      </c>
      <c r="F206" s="25">
        <v>3.5</v>
      </c>
      <c r="G206" s="32">
        <v>14.64</v>
      </c>
      <c r="H206" s="25">
        <v>8.1999999999999993</v>
      </c>
      <c r="I206" s="25">
        <v>4.5999999999999996</v>
      </c>
      <c r="J206" s="25">
        <v>2.57</v>
      </c>
      <c r="K206" s="25">
        <v>0.112</v>
      </c>
      <c r="L206" s="33">
        <v>5.5E-2</v>
      </c>
      <c r="M206" s="42"/>
      <c r="N206" s="24">
        <f t="shared" si="14"/>
        <v>6.6405868799999999</v>
      </c>
      <c r="O206" s="40"/>
      <c r="P206" s="40"/>
      <c r="Q206" s="24">
        <f t="shared" si="15"/>
        <v>2.0865231999999998</v>
      </c>
      <c r="R206" s="24">
        <f t="shared" si="16"/>
        <v>1.1657314399999998</v>
      </c>
      <c r="S206" s="24">
        <f t="shared" si="17"/>
        <v>5.0802304E-2</v>
      </c>
      <c r="T206" s="24">
        <f t="shared" si="18"/>
        <v>2.4947560000000001E-2</v>
      </c>
      <c r="U206" s="5">
        <v>20.8</v>
      </c>
      <c r="V206" s="1">
        <v>70.400000000000006</v>
      </c>
      <c r="W206" s="1">
        <v>0.75</v>
      </c>
      <c r="X206" s="1">
        <v>0.47</v>
      </c>
      <c r="Y206" s="1">
        <v>12.3</v>
      </c>
      <c r="Z206" s="1">
        <v>0.54</v>
      </c>
      <c r="AA206" s="6">
        <v>0.26</v>
      </c>
    </row>
    <row r="207" spans="1:27">
      <c r="A207" s="3"/>
      <c r="D207" s="15">
        <v>1000</v>
      </c>
      <c r="E207" s="1">
        <f t="shared" si="13"/>
        <v>453.59199999999998</v>
      </c>
      <c r="G207" s="32">
        <v>15.85</v>
      </c>
      <c r="H207" s="25">
        <v>8.9</v>
      </c>
      <c r="I207" s="25">
        <v>5</v>
      </c>
      <c r="J207" s="25">
        <v>2.6</v>
      </c>
      <c r="K207" s="25">
        <v>0.111</v>
      </c>
      <c r="L207" s="33">
        <v>5.6000000000000001E-2</v>
      </c>
      <c r="M207" s="42"/>
      <c r="N207" s="24">
        <f t="shared" si="14"/>
        <v>7.1894331999999999</v>
      </c>
      <c r="O207" s="40"/>
      <c r="P207" s="40"/>
      <c r="Q207" s="24">
        <f t="shared" si="15"/>
        <v>2.26796</v>
      </c>
      <c r="R207" s="24">
        <f t="shared" si="16"/>
        <v>1.1793392</v>
      </c>
      <c r="S207" s="24">
        <f t="shared" si="17"/>
        <v>5.0348711999999997E-2</v>
      </c>
      <c r="T207" s="24">
        <f t="shared" si="18"/>
        <v>2.5401152E-2</v>
      </c>
      <c r="U207" s="5">
        <v>22.5</v>
      </c>
      <c r="V207" s="1">
        <v>70.400000000000006</v>
      </c>
      <c r="W207" s="1">
        <v>0.75</v>
      </c>
      <c r="X207" s="1">
        <v>0.47</v>
      </c>
      <c r="Y207" s="1">
        <v>11.5</v>
      </c>
      <c r="Z207" s="1">
        <v>0.49</v>
      </c>
      <c r="AA207" s="6">
        <v>0.25</v>
      </c>
    </row>
    <row r="208" spans="1:27">
      <c r="A208" s="3"/>
      <c r="D208" s="15">
        <v>1100</v>
      </c>
      <c r="E208" s="1">
        <f t="shared" si="13"/>
        <v>498.95119999999997</v>
      </c>
      <c r="G208" s="32">
        <v>17</v>
      </c>
      <c r="H208" s="25">
        <v>9.5</v>
      </c>
      <c r="I208" s="25">
        <v>5.4</v>
      </c>
      <c r="J208" s="25">
        <v>2.63</v>
      </c>
      <c r="K208" s="25">
        <v>0.111</v>
      </c>
      <c r="L208" s="33">
        <v>5.7000000000000002E-2</v>
      </c>
      <c r="M208" s="42"/>
      <c r="N208" s="24">
        <f t="shared" si="14"/>
        <v>7.7110640000000004</v>
      </c>
      <c r="O208" s="40"/>
      <c r="P208" s="40"/>
      <c r="Q208" s="24">
        <f t="shared" si="15"/>
        <v>2.4493968000000002</v>
      </c>
      <c r="R208" s="24">
        <f t="shared" si="16"/>
        <v>1.19294696</v>
      </c>
      <c r="S208" s="24">
        <f t="shared" si="17"/>
        <v>5.0348711999999997E-2</v>
      </c>
      <c r="T208" s="24">
        <f t="shared" si="18"/>
        <v>2.5854743999999999E-2</v>
      </c>
      <c r="U208" s="5">
        <v>24.2</v>
      </c>
      <c r="V208" s="1">
        <v>70.3</v>
      </c>
      <c r="W208" s="1">
        <v>0.75</v>
      </c>
      <c r="X208" s="1">
        <v>0.47</v>
      </c>
      <c r="Y208" s="1">
        <v>10.9</v>
      </c>
      <c r="Z208" s="1">
        <v>0.46</v>
      </c>
      <c r="AA208" s="6">
        <v>0.23</v>
      </c>
    </row>
    <row r="209" spans="1:27">
      <c r="A209" s="3"/>
      <c r="D209" s="15">
        <v>1200</v>
      </c>
      <c r="E209" s="1">
        <f t="shared" si="13"/>
        <v>544.31039999999996</v>
      </c>
      <c r="G209" s="32">
        <v>18.18</v>
      </c>
      <c r="H209" s="25">
        <v>10.199999999999999</v>
      </c>
      <c r="I209" s="25">
        <v>5.7</v>
      </c>
      <c r="J209" s="25">
        <v>2.66</v>
      </c>
      <c r="K209" s="25">
        <v>0.111</v>
      </c>
      <c r="L209" s="33">
        <v>5.7000000000000002E-2</v>
      </c>
      <c r="M209" s="42"/>
      <c r="N209" s="24">
        <f t="shared" si="14"/>
        <v>8.2463025600000002</v>
      </c>
      <c r="O209" s="40"/>
      <c r="P209" s="40"/>
      <c r="Q209" s="24">
        <f t="shared" si="15"/>
        <v>2.5854743999999998</v>
      </c>
      <c r="R209" s="24">
        <f t="shared" si="16"/>
        <v>1.20655472</v>
      </c>
      <c r="S209" s="24">
        <f t="shared" si="17"/>
        <v>5.0348711999999997E-2</v>
      </c>
      <c r="T209" s="24">
        <f t="shared" si="18"/>
        <v>2.5854743999999999E-2</v>
      </c>
      <c r="U209" s="5">
        <v>25.8</v>
      </c>
      <c r="V209" s="1">
        <v>70.400000000000006</v>
      </c>
      <c r="W209" s="1">
        <v>0.75</v>
      </c>
      <c r="X209" s="1">
        <v>0.47</v>
      </c>
      <c r="Y209" s="1">
        <v>10.3</v>
      </c>
      <c r="Z209" s="1">
        <v>0.43</v>
      </c>
      <c r="AA209" s="6">
        <v>0.22</v>
      </c>
    </row>
    <row r="210" spans="1:27">
      <c r="A210" s="3"/>
      <c r="D210" s="15">
        <v>1300</v>
      </c>
      <c r="E210" s="1">
        <f t="shared" si="13"/>
        <v>589.66959999999995</v>
      </c>
      <c r="G210" s="32">
        <v>19.28</v>
      </c>
      <c r="H210" s="25">
        <v>10.8</v>
      </c>
      <c r="I210" s="25">
        <v>6.1</v>
      </c>
      <c r="J210" s="25">
        <v>2.69</v>
      </c>
      <c r="K210" s="25">
        <v>0.11</v>
      </c>
      <c r="L210" s="33">
        <v>5.8000000000000003E-2</v>
      </c>
      <c r="M210" s="42"/>
      <c r="N210" s="24">
        <f t="shared" si="14"/>
        <v>8.7452537600000007</v>
      </c>
      <c r="O210" s="40"/>
      <c r="P210" s="40"/>
      <c r="Q210" s="24">
        <f t="shared" si="15"/>
        <v>2.7669112</v>
      </c>
      <c r="R210" s="24">
        <f t="shared" si="16"/>
        <v>1.2201624799999999</v>
      </c>
      <c r="S210" s="24">
        <f t="shared" si="17"/>
        <v>4.9895120000000001E-2</v>
      </c>
      <c r="T210" s="24">
        <f t="shared" si="18"/>
        <v>2.6308336000000002E-2</v>
      </c>
      <c r="U210" s="5">
        <v>27.4</v>
      </c>
      <c r="V210" s="1">
        <v>70.3</v>
      </c>
      <c r="W210" s="1">
        <v>0.75</v>
      </c>
      <c r="X210" s="1">
        <v>0.47</v>
      </c>
      <c r="Y210" s="1">
        <v>9.8000000000000007</v>
      </c>
      <c r="Z210" s="1">
        <v>0.4</v>
      </c>
      <c r="AA210" s="6">
        <v>0.21</v>
      </c>
    </row>
    <row r="211" spans="1:27">
      <c r="A211" s="3"/>
      <c r="D211" s="15">
        <v>1400</v>
      </c>
      <c r="E211" s="1">
        <f t="shared" si="13"/>
        <v>635.02880000000005</v>
      </c>
      <c r="G211" s="32">
        <v>20.37</v>
      </c>
      <c r="H211" s="25">
        <v>11.4</v>
      </c>
      <c r="I211" s="25">
        <v>6.5</v>
      </c>
      <c r="J211" s="25">
        <v>2.71</v>
      </c>
      <c r="K211" s="25">
        <v>0.11</v>
      </c>
      <c r="L211" s="33">
        <v>5.8999999999999997E-2</v>
      </c>
      <c r="M211" s="42"/>
      <c r="N211" s="24">
        <f t="shared" si="14"/>
        <v>9.2396690400000008</v>
      </c>
      <c r="O211" s="40"/>
      <c r="P211" s="40"/>
      <c r="Q211" s="24">
        <f t="shared" si="15"/>
        <v>2.9483480000000002</v>
      </c>
      <c r="R211" s="24">
        <f t="shared" si="16"/>
        <v>1.22923432</v>
      </c>
      <c r="S211" s="24">
        <f t="shared" si="17"/>
        <v>4.9895120000000001E-2</v>
      </c>
      <c r="T211" s="24">
        <f t="shared" si="18"/>
        <v>2.6761927999999997E-2</v>
      </c>
      <c r="U211" s="5">
        <v>29</v>
      </c>
      <c r="V211" s="1">
        <v>70.3</v>
      </c>
      <c r="W211" s="1">
        <v>0.75</v>
      </c>
      <c r="X211" s="1">
        <v>0.47</v>
      </c>
      <c r="Y211" s="1">
        <v>9.4</v>
      </c>
      <c r="Z211" s="1">
        <v>0.38</v>
      </c>
      <c r="AA211" s="6">
        <v>0.2</v>
      </c>
    </row>
    <row r="212" spans="1:27">
      <c r="A212" s="3"/>
      <c r="D212" s="15">
        <v>1500</v>
      </c>
      <c r="E212" s="1">
        <f t="shared" si="13"/>
        <v>680.38800000000003</v>
      </c>
      <c r="G212" s="32">
        <v>21.45</v>
      </c>
      <c r="H212" s="25">
        <v>12</v>
      </c>
      <c r="I212" s="25">
        <v>6.8</v>
      </c>
      <c r="J212" s="25">
        <v>2.74</v>
      </c>
      <c r="K212" s="25">
        <v>0.11</v>
      </c>
      <c r="L212" s="33">
        <v>0.06</v>
      </c>
      <c r="M212" s="42"/>
      <c r="N212" s="24">
        <f t="shared" si="14"/>
        <v>9.7295483999999988</v>
      </c>
      <c r="O212" s="40"/>
      <c r="P212" s="40"/>
      <c r="Q212" s="24">
        <f t="shared" si="15"/>
        <v>3.0844255999999999</v>
      </c>
      <c r="R212" s="24">
        <f t="shared" si="16"/>
        <v>1.2428420800000002</v>
      </c>
      <c r="S212" s="24">
        <f t="shared" si="17"/>
        <v>4.9895120000000001E-2</v>
      </c>
      <c r="T212" s="24">
        <f t="shared" si="18"/>
        <v>2.721552E-2</v>
      </c>
      <c r="U212" s="5">
        <v>30.5</v>
      </c>
      <c r="V212" s="1">
        <v>70.3</v>
      </c>
      <c r="W212" s="1">
        <v>0.75</v>
      </c>
      <c r="X212" s="1">
        <v>0.47</v>
      </c>
      <c r="Y212" s="1">
        <v>9</v>
      </c>
      <c r="Z212" s="1">
        <v>0.36</v>
      </c>
      <c r="AA212" s="6">
        <v>0.2</v>
      </c>
    </row>
    <row r="213" spans="1:27">
      <c r="A213" s="3"/>
      <c r="D213" s="15">
        <v>1600</v>
      </c>
      <c r="E213" s="1">
        <f t="shared" si="13"/>
        <v>725.74720000000002</v>
      </c>
      <c r="G213" s="32">
        <v>22.52</v>
      </c>
      <c r="H213" s="25">
        <v>12.6</v>
      </c>
      <c r="I213" s="25">
        <v>7.1</v>
      </c>
      <c r="J213" s="25">
        <v>2.77</v>
      </c>
      <c r="K213" s="25">
        <v>0.11</v>
      </c>
      <c r="L213" s="33">
        <v>6.0999999999999999E-2</v>
      </c>
      <c r="M213" s="42"/>
      <c r="N213" s="24">
        <f t="shared" si="14"/>
        <v>10.21489184</v>
      </c>
      <c r="O213" s="40"/>
      <c r="P213" s="40"/>
      <c r="Q213" s="24">
        <f t="shared" si="15"/>
        <v>3.2205032</v>
      </c>
      <c r="R213" s="24">
        <f t="shared" si="16"/>
        <v>1.2564498399999999</v>
      </c>
      <c r="S213" s="24">
        <f t="shared" si="17"/>
        <v>4.9895120000000001E-2</v>
      </c>
      <c r="T213" s="24">
        <f t="shared" si="18"/>
        <v>2.7669111999999999E-2</v>
      </c>
      <c r="U213" s="5">
        <v>32</v>
      </c>
      <c r="V213" s="1">
        <v>70.3</v>
      </c>
      <c r="W213" s="1">
        <v>0.75</v>
      </c>
      <c r="X213" s="1">
        <v>0.47</v>
      </c>
      <c r="Y213" s="1">
        <v>8.6</v>
      </c>
      <c r="Z213" s="1">
        <v>0.34</v>
      </c>
      <c r="AA213" s="6">
        <v>0.19</v>
      </c>
    </row>
    <row r="214" spans="1:27">
      <c r="A214" s="3"/>
      <c r="D214" s="15">
        <v>1700</v>
      </c>
      <c r="E214" s="1">
        <f t="shared" si="13"/>
        <v>771.10640000000001</v>
      </c>
      <c r="G214" s="32">
        <v>23.57</v>
      </c>
      <c r="H214" s="25">
        <v>13.2</v>
      </c>
      <c r="I214" s="25">
        <v>7.5</v>
      </c>
      <c r="J214" s="25">
        <v>2.79</v>
      </c>
      <c r="K214" s="25">
        <v>0.11</v>
      </c>
      <c r="L214" s="33">
        <v>6.2E-2</v>
      </c>
      <c r="M214" s="42"/>
      <c r="N214" s="24">
        <f t="shared" si="14"/>
        <v>10.69116344</v>
      </c>
      <c r="O214" s="40"/>
      <c r="P214" s="40"/>
      <c r="Q214" s="24">
        <f t="shared" si="15"/>
        <v>3.4019399999999997</v>
      </c>
      <c r="R214" s="24">
        <f t="shared" si="16"/>
        <v>1.26552168</v>
      </c>
      <c r="S214" s="24">
        <f t="shared" si="17"/>
        <v>4.9895120000000001E-2</v>
      </c>
      <c r="T214" s="24">
        <f t="shared" si="18"/>
        <v>2.8122703999999998E-2</v>
      </c>
      <c r="U214" s="5">
        <v>33.5</v>
      </c>
      <c r="V214" s="1">
        <v>70.3</v>
      </c>
      <c r="W214" s="1">
        <v>0.75</v>
      </c>
      <c r="X214" s="1">
        <v>0.47</v>
      </c>
      <c r="Y214" s="1">
        <v>8.3000000000000007</v>
      </c>
      <c r="Z214" s="1">
        <v>0.33</v>
      </c>
      <c r="AA214" s="6">
        <v>0.19</v>
      </c>
    </row>
    <row r="215" spans="1:27">
      <c r="A215" s="13"/>
      <c r="B215" s="8"/>
      <c r="C215" s="8"/>
      <c r="D215" s="16">
        <v>1800</v>
      </c>
      <c r="E215" s="1">
        <f t="shared" si="13"/>
        <v>816.46559999999999</v>
      </c>
      <c r="F215" s="35"/>
      <c r="G215" s="34">
        <v>24.62</v>
      </c>
      <c r="H215" s="35">
        <v>13.8</v>
      </c>
      <c r="I215" s="35">
        <v>7.8</v>
      </c>
      <c r="J215" s="35">
        <v>2.82</v>
      </c>
      <c r="K215" s="35">
        <v>0.11</v>
      </c>
      <c r="L215" s="36">
        <v>6.3E-2</v>
      </c>
      <c r="M215" s="42"/>
      <c r="N215" s="24">
        <f t="shared" si="14"/>
        <v>11.167435040000001</v>
      </c>
      <c r="O215" s="40"/>
      <c r="P215" s="40"/>
      <c r="Q215" s="24">
        <f t="shared" si="15"/>
        <v>3.5380175999999999</v>
      </c>
      <c r="R215" s="24">
        <f t="shared" si="16"/>
        <v>1.27912944</v>
      </c>
      <c r="S215" s="24">
        <f t="shared" si="17"/>
        <v>4.9895120000000001E-2</v>
      </c>
      <c r="T215" s="24">
        <f t="shared" si="18"/>
        <v>2.8576296000000001E-2</v>
      </c>
      <c r="U215" s="7">
        <v>35</v>
      </c>
      <c r="V215" s="8">
        <v>70.400000000000006</v>
      </c>
      <c r="W215" s="8">
        <v>0.75</v>
      </c>
      <c r="X215" s="8">
        <v>0.47</v>
      </c>
      <c r="Y215" s="8">
        <v>8.1</v>
      </c>
      <c r="Z215" s="8">
        <v>0.31</v>
      </c>
      <c r="AA215" s="9">
        <v>0.18</v>
      </c>
    </row>
    <row r="216" spans="1:27">
      <c r="N216" s="24">
        <f t="shared" si="14"/>
        <v>0</v>
      </c>
      <c r="O216" s="40"/>
      <c r="P216" s="40"/>
      <c r="Q216" s="24">
        <f t="shared" si="15"/>
        <v>0</v>
      </c>
      <c r="R216" s="24">
        <f t="shared" si="16"/>
        <v>0</v>
      </c>
      <c r="S216" s="24">
        <f t="shared" si="17"/>
        <v>0</v>
      </c>
      <c r="T216" s="24">
        <f t="shared" si="18"/>
        <v>0</v>
      </c>
    </row>
    <row r="217" spans="1:27">
      <c r="A217" s="11"/>
      <c r="B217" s="10"/>
      <c r="C217" s="10"/>
      <c r="D217" s="10"/>
      <c r="E217" s="10"/>
      <c r="F217" s="37"/>
      <c r="G217" s="26" t="s">
        <v>10</v>
      </c>
      <c r="H217" s="27"/>
      <c r="I217" s="27"/>
      <c r="J217" s="27"/>
      <c r="K217" s="27"/>
      <c r="L217" s="28"/>
      <c r="M217" s="43"/>
      <c r="N217" s="24" t="e">
        <f t="shared" si="14"/>
        <v>#VALUE!</v>
      </c>
      <c r="O217" s="40"/>
      <c r="P217" s="40"/>
      <c r="Q217" s="24">
        <f t="shared" si="15"/>
        <v>0</v>
      </c>
      <c r="R217" s="24">
        <f t="shared" si="16"/>
        <v>0</v>
      </c>
      <c r="S217" s="24">
        <f t="shared" si="17"/>
        <v>0</v>
      </c>
      <c r="T217" s="24">
        <f t="shared" si="18"/>
        <v>0</v>
      </c>
      <c r="U217" s="21" t="s">
        <v>21</v>
      </c>
      <c r="V217" s="21"/>
      <c r="W217" s="21"/>
      <c r="X217" s="21"/>
      <c r="Y217" s="21"/>
      <c r="Z217" s="21"/>
      <c r="AA217" s="22"/>
    </row>
    <row r="218" spans="1:27" ht="26">
      <c r="A218" s="12" t="s">
        <v>72</v>
      </c>
      <c r="B218" s="2" t="s">
        <v>27</v>
      </c>
      <c r="C218" s="2"/>
      <c r="D218" s="2"/>
      <c r="E218" s="2"/>
      <c r="F218" s="30"/>
      <c r="G218" s="29" t="s">
        <v>11</v>
      </c>
      <c r="H218" s="30" t="s">
        <v>23</v>
      </c>
      <c r="I218" s="30" t="s">
        <v>24</v>
      </c>
      <c r="J218" s="30" t="s">
        <v>12</v>
      </c>
      <c r="K218" s="30" t="s">
        <v>13</v>
      </c>
      <c r="L218" s="31" t="s">
        <v>14</v>
      </c>
      <c r="M218" s="41"/>
      <c r="N218" s="24" t="e">
        <f t="shared" si="14"/>
        <v>#VALUE!</v>
      </c>
      <c r="O218" s="40"/>
      <c r="P218" s="40"/>
      <c r="Q218" s="24" t="e">
        <f t="shared" si="15"/>
        <v>#VALUE!</v>
      </c>
      <c r="R218" s="24" t="e">
        <f t="shared" si="16"/>
        <v>#VALUE!</v>
      </c>
      <c r="S218" s="24" t="e">
        <f t="shared" si="17"/>
        <v>#VALUE!</v>
      </c>
      <c r="T218" s="24" t="e">
        <f t="shared" si="18"/>
        <v>#VALUE!</v>
      </c>
      <c r="U218" s="3" t="s">
        <v>15</v>
      </c>
      <c r="V218" s="2" t="s">
        <v>16</v>
      </c>
      <c r="W218" s="2" t="s">
        <v>17</v>
      </c>
      <c r="X218" s="2" t="s">
        <v>24</v>
      </c>
      <c r="Y218" s="2" t="s">
        <v>18</v>
      </c>
      <c r="Z218" s="2" t="s">
        <v>19</v>
      </c>
      <c r="AA218" s="4" t="s">
        <v>20</v>
      </c>
    </row>
    <row r="219" spans="1:27">
      <c r="A219" s="3"/>
      <c r="B219" s="1">
        <v>1800</v>
      </c>
      <c r="C219" s="1">
        <f>B219*$H$2</f>
        <v>816.46559999999999</v>
      </c>
      <c r="G219" s="32">
        <v>16</v>
      </c>
      <c r="H219" s="25">
        <v>13.8</v>
      </c>
      <c r="J219" s="25">
        <v>1.86</v>
      </c>
      <c r="K219" s="25">
        <v>5.2999999999999999E-2</v>
      </c>
      <c r="L219" s="33">
        <v>4.1000000000000002E-2</v>
      </c>
      <c r="M219" s="42"/>
      <c r="N219" s="24">
        <f t="shared" si="14"/>
        <v>7.2574719999999999</v>
      </c>
      <c r="O219" s="40"/>
      <c r="P219" s="40"/>
      <c r="Q219" s="24">
        <f t="shared" si="15"/>
        <v>0</v>
      </c>
      <c r="R219" s="24">
        <f t="shared" si="16"/>
        <v>0.84368112000000006</v>
      </c>
      <c r="S219" s="24">
        <f t="shared" si="17"/>
        <v>2.4040375999999999E-2</v>
      </c>
      <c r="T219" s="24">
        <f t="shared" si="18"/>
        <v>1.8597272000000001E-2</v>
      </c>
      <c r="U219" s="1">
        <v>32.700000000000003</v>
      </c>
      <c r="V219" s="1">
        <v>48.9</v>
      </c>
      <c r="W219" s="1">
        <v>0.42</v>
      </c>
      <c r="X219" s="1">
        <v>0.18</v>
      </c>
      <c r="Y219" s="1">
        <v>5.7</v>
      </c>
      <c r="Z219" s="1">
        <v>0.16</v>
      </c>
      <c r="AA219" s="6">
        <v>0.12</v>
      </c>
    </row>
    <row r="220" spans="1:27">
      <c r="A220" s="13"/>
      <c r="B220" s="8">
        <v>2200</v>
      </c>
      <c r="C220" s="1">
        <f>B220*$H$2</f>
        <v>997.90239999999994</v>
      </c>
      <c r="D220" s="8"/>
      <c r="E220" s="8"/>
      <c r="F220" s="35"/>
      <c r="G220" s="34">
        <v>18.600000000000001</v>
      </c>
      <c r="H220" s="35">
        <v>16</v>
      </c>
      <c r="I220" s="35"/>
      <c r="J220" s="35">
        <v>2.16</v>
      </c>
      <c r="K220" s="35">
        <v>6.5000000000000002E-2</v>
      </c>
      <c r="L220" s="36">
        <v>0.05</v>
      </c>
      <c r="M220" s="42"/>
      <c r="N220" s="24">
        <f t="shared" si="14"/>
        <v>8.4368112000000011</v>
      </c>
      <c r="O220" s="40"/>
      <c r="P220" s="40"/>
      <c r="Q220" s="24">
        <f t="shared" si="15"/>
        <v>0</v>
      </c>
      <c r="R220" s="24">
        <f t="shared" si="16"/>
        <v>0.97975872000000008</v>
      </c>
      <c r="S220" s="24">
        <f t="shared" si="17"/>
        <v>2.9483479999999999E-2</v>
      </c>
      <c r="T220" s="24">
        <f t="shared" si="18"/>
        <v>2.2679600000000001E-2</v>
      </c>
      <c r="U220" s="8">
        <v>38</v>
      </c>
      <c r="V220" s="8">
        <v>48.9</v>
      </c>
      <c r="W220" s="8">
        <v>0.42</v>
      </c>
      <c r="X220" s="8">
        <v>0.18</v>
      </c>
      <c r="Y220" s="8">
        <v>5.7</v>
      </c>
      <c r="Z220" s="8">
        <v>0.17</v>
      </c>
      <c r="AA220" s="9">
        <v>0.13</v>
      </c>
    </row>
    <row r="279" spans="7:22">
      <c r="G279" s="25" t="s">
        <v>44</v>
      </c>
      <c r="H279" s="25" t="s">
        <v>45</v>
      </c>
      <c r="I279" s="25" t="s">
        <v>46</v>
      </c>
      <c r="J279" s="25" t="s">
        <v>47</v>
      </c>
      <c r="K279" s="25" t="s">
        <v>48</v>
      </c>
    </row>
    <row r="280" spans="7:22">
      <c r="G280" s="25" t="s">
        <v>49</v>
      </c>
      <c r="H280" s="25" t="s">
        <v>50</v>
      </c>
      <c r="I280" s="25" t="s">
        <v>51</v>
      </c>
      <c r="J280" s="25" t="s">
        <v>52</v>
      </c>
      <c r="K280" s="25" t="s">
        <v>53</v>
      </c>
      <c r="L280" s="25" t="s">
        <v>54</v>
      </c>
      <c r="U280" s="1" t="s">
        <v>55</v>
      </c>
      <c r="V280" s="1" t="s">
        <v>56</v>
      </c>
    </row>
    <row r="281" spans="7:22">
      <c r="G281" s="25" t="s">
        <v>57</v>
      </c>
      <c r="H281" s="25">
        <v>1</v>
      </c>
      <c r="I281" s="25" t="s">
        <v>58</v>
      </c>
      <c r="J281" s="25" t="s">
        <v>59</v>
      </c>
      <c r="K281" s="25" t="s">
        <v>60</v>
      </c>
    </row>
    <row r="282" spans="7:22">
      <c r="G282" s="25" t="s">
        <v>57</v>
      </c>
      <c r="H282" s="25">
        <v>2</v>
      </c>
      <c r="I282" s="25" t="s">
        <v>61</v>
      </c>
      <c r="J282" s="25" t="s">
        <v>62</v>
      </c>
      <c r="K282" s="25" t="s">
        <v>63</v>
      </c>
      <c r="L282" s="25" t="s">
        <v>64</v>
      </c>
    </row>
    <row r="283" spans="7:22">
      <c r="G283" s="25" t="s">
        <v>57</v>
      </c>
      <c r="H283" s="25">
        <v>3</v>
      </c>
      <c r="I283" s="25" t="s">
        <v>58</v>
      </c>
      <c r="J283" s="25" t="s">
        <v>65</v>
      </c>
      <c r="K283" s="25" t="s">
        <v>66</v>
      </c>
      <c r="L283" s="25" t="s">
        <v>67</v>
      </c>
    </row>
    <row r="284" spans="7:22">
      <c r="G284" s="25" t="s">
        <v>57</v>
      </c>
      <c r="H284" s="25">
        <v>4</v>
      </c>
      <c r="I284" s="25" t="s">
        <v>68</v>
      </c>
      <c r="J284" s="25" t="s">
        <v>69</v>
      </c>
      <c r="K284" s="25" t="s">
        <v>70</v>
      </c>
    </row>
    <row r="285" spans="7:22">
      <c r="G285" s="25" t="s">
        <v>71</v>
      </c>
      <c r="H285" s="25" t="s">
        <v>54</v>
      </c>
    </row>
  </sheetData>
  <mergeCells count="18">
    <mergeCell ref="G4:K4"/>
    <mergeCell ref="L4:Y4"/>
    <mergeCell ref="G19:L19"/>
    <mergeCell ref="T19:Z19"/>
    <mergeCell ref="G34:L34"/>
    <mergeCell ref="U34:AA34"/>
    <mergeCell ref="G46:L46"/>
    <mergeCell ref="U46:AA46"/>
    <mergeCell ref="G64:L64"/>
    <mergeCell ref="U64:AA64"/>
    <mergeCell ref="G154:L154"/>
    <mergeCell ref="U154:AA154"/>
    <mergeCell ref="G217:L217"/>
    <mergeCell ref="U217:AA217"/>
    <mergeCell ref="G87:L87"/>
    <mergeCell ref="U87:AA87"/>
    <mergeCell ref="G126:L126"/>
    <mergeCell ref="U126:AA1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DE44-44CC-DF4E-AEE0-69080F2EC18E}">
  <dimension ref="A1:AB285"/>
  <sheetViews>
    <sheetView topLeftCell="H3" zoomScale="142" workbookViewId="0">
      <selection activeCell="W26" sqref="W26"/>
    </sheetView>
  </sheetViews>
  <sheetFormatPr baseColWidth="10" defaultRowHeight="12"/>
  <cols>
    <col min="1" max="1" width="14.83203125" style="2" customWidth="1"/>
    <col min="2" max="3" width="11.6640625" style="1" customWidth="1"/>
    <col min="4" max="5" width="16.6640625" style="1" customWidth="1"/>
    <col min="6" max="7" width="13.83203125" style="25" customWidth="1"/>
    <col min="8" max="8" width="10.1640625" style="25" customWidth="1"/>
    <col min="9" max="9" width="8.33203125" style="25" customWidth="1"/>
    <col min="10" max="10" width="7.5" style="25" customWidth="1"/>
    <col min="11" max="11" width="9.6640625" style="25" bestFit="1" customWidth="1"/>
    <col min="12" max="12" width="10.5" style="25" bestFit="1" customWidth="1"/>
    <col min="13" max="13" width="8.33203125" style="25" bestFit="1" customWidth="1"/>
    <col min="14" max="14" width="7.83203125" style="1" customWidth="1"/>
    <col min="15" max="15" width="7.83203125" style="38" customWidth="1"/>
    <col min="16" max="25" width="7.83203125" style="1" customWidth="1"/>
    <col min="26" max="16384" width="10.83203125" style="1"/>
  </cols>
  <sheetData>
    <row r="1" spans="1:28" ht="13">
      <c r="A1" s="14" t="s">
        <v>1</v>
      </c>
    </row>
    <row r="2" spans="1:28">
      <c r="H2" s="25" t="s">
        <v>115</v>
      </c>
      <c r="I2" s="25">
        <v>0.453592</v>
      </c>
    </row>
    <row r="3" spans="1:28">
      <c r="A3" s="1" t="s">
        <v>0</v>
      </c>
    </row>
    <row r="4" spans="1:28">
      <c r="A4" s="11"/>
      <c r="B4" s="10"/>
      <c r="C4" s="10"/>
      <c r="D4" s="10"/>
      <c r="E4" s="10"/>
      <c r="F4" s="37"/>
      <c r="G4" s="37"/>
      <c r="H4" s="26" t="s">
        <v>10</v>
      </c>
      <c r="I4" s="27"/>
      <c r="J4" s="27"/>
      <c r="K4" s="27"/>
      <c r="L4" s="28"/>
      <c r="M4" s="20" t="s">
        <v>21</v>
      </c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2"/>
    </row>
    <row r="5" spans="1:28" ht="26">
      <c r="A5" s="12" t="s">
        <v>2</v>
      </c>
      <c r="B5" s="2" t="s">
        <v>3</v>
      </c>
      <c r="C5" s="2" t="s">
        <v>123</v>
      </c>
      <c r="D5" s="2" t="s">
        <v>4</v>
      </c>
      <c r="E5" s="2"/>
      <c r="F5" s="30" t="s">
        <v>5</v>
      </c>
      <c r="G5" s="30" t="s">
        <v>5</v>
      </c>
      <c r="H5" s="29" t="s">
        <v>11</v>
      </c>
      <c r="I5" s="30" t="s">
        <v>23</v>
      </c>
      <c r="J5" s="30" t="s">
        <v>12</v>
      </c>
      <c r="K5" s="30" t="s">
        <v>13</v>
      </c>
      <c r="L5" s="31" t="s">
        <v>14</v>
      </c>
      <c r="M5" s="29" t="s">
        <v>15</v>
      </c>
      <c r="N5" s="29" t="s">
        <v>116</v>
      </c>
      <c r="O5" s="39" t="s">
        <v>23</v>
      </c>
      <c r="P5" s="30" t="s">
        <v>117</v>
      </c>
      <c r="Q5" s="30" t="s">
        <v>118</v>
      </c>
      <c r="R5" s="31" t="s">
        <v>119</v>
      </c>
      <c r="S5" s="29" t="s">
        <v>120</v>
      </c>
      <c r="U5" s="2" t="s">
        <v>16</v>
      </c>
      <c r="V5" s="2" t="s">
        <v>17</v>
      </c>
      <c r="W5" s="2" t="s">
        <v>18</v>
      </c>
      <c r="X5" s="2" t="s">
        <v>19</v>
      </c>
      <c r="Y5" s="4" t="s">
        <v>20</v>
      </c>
    </row>
    <row r="6" spans="1:28">
      <c r="A6" s="3"/>
      <c r="B6" s="1">
        <v>1300</v>
      </c>
      <c r="C6" s="1">
        <f>B6*I2</f>
        <v>589.66959999999995</v>
      </c>
      <c r="D6" s="1">
        <v>1</v>
      </c>
      <c r="F6" s="25" t="s">
        <v>6</v>
      </c>
      <c r="G6" s="25" t="s">
        <v>6</v>
      </c>
      <c r="H6" s="32">
        <v>15.88</v>
      </c>
      <c r="I6" s="25">
        <v>15.6</v>
      </c>
      <c r="J6" s="25">
        <v>2.75</v>
      </c>
      <c r="K6" s="25">
        <v>7.4999999999999997E-2</v>
      </c>
      <c r="L6" s="33">
        <v>0.05</v>
      </c>
      <c r="M6" s="32">
        <v>27</v>
      </c>
      <c r="N6" s="24">
        <f>H6*$I$2</f>
        <v>7.20304096</v>
      </c>
      <c r="O6" s="40"/>
      <c r="P6" s="24">
        <f>J6*$I$2</f>
        <v>1.2473779999999999</v>
      </c>
      <c r="Q6" s="24">
        <f>K6*$I$2</f>
        <v>3.4019399999999998E-2</v>
      </c>
      <c r="R6" s="24">
        <f>L6*$I$2</f>
        <v>2.2679600000000001E-2</v>
      </c>
      <c r="S6" s="24">
        <f>M6*$I$2</f>
        <v>12.246983999999999</v>
      </c>
      <c r="U6" s="1">
        <v>58.9</v>
      </c>
      <c r="V6" s="1">
        <v>0.57999999999999996</v>
      </c>
      <c r="W6" s="1">
        <v>10.199999999999999</v>
      </c>
      <c r="X6" s="1">
        <v>0.28000000000000003</v>
      </c>
      <c r="Y6" s="6">
        <v>0.19</v>
      </c>
      <c r="AB6" s="1" t="s">
        <v>32</v>
      </c>
    </row>
    <row r="7" spans="1:28">
      <c r="A7" s="3"/>
      <c r="D7" s="1">
        <v>2</v>
      </c>
      <c r="F7" s="25" t="s">
        <v>6</v>
      </c>
      <c r="G7" s="25" t="s">
        <v>6</v>
      </c>
      <c r="H7" s="32">
        <v>16.72</v>
      </c>
      <c r="I7" s="25">
        <v>16.600000000000001</v>
      </c>
      <c r="J7" s="25">
        <v>3.02</v>
      </c>
      <c r="K7" s="25">
        <v>8.3000000000000004E-2</v>
      </c>
      <c r="L7" s="33">
        <v>5.5E-2</v>
      </c>
      <c r="M7" s="32">
        <v>27.8</v>
      </c>
      <c r="N7" s="24">
        <f t="shared" ref="N7:N70" si="0">H7*$I$2</f>
        <v>7.5840582399999992</v>
      </c>
      <c r="O7" s="40"/>
      <c r="P7" s="24">
        <f t="shared" ref="P7:S70" si="1">J7*$I$2</f>
        <v>1.36984784</v>
      </c>
      <c r="Q7" s="24">
        <f t="shared" si="1"/>
        <v>3.7648135999999999E-2</v>
      </c>
      <c r="R7" s="24">
        <f t="shared" si="1"/>
        <v>2.4947560000000001E-2</v>
      </c>
      <c r="S7" s="24">
        <f t="shared" si="1"/>
        <v>12.6098576</v>
      </c>
      <c r="U7" s="1">
        <v>60.1</v>
      </c>
      <c r="V7" s="1">
        <v>0.6</v>
      </c>
      <c r="W7" s="1">
        <v>10.9</v>
      </c>
      <c r="X7" s="1">
        <v>0.3</v>
      </c>
      <c r="Y7" s="6">
        <v>0.2</v>
      </c>
      <c r="AB7" s="1" t="s">
        <v>33</v>
      </c>
    </row>
    <row r="8" spans="1:28">
      <c r="A8" s="3"/>
      <c r="D8" s="1">
        <v>3</v>
      </c>
      <c r="F8" s="25" t="s">
        <v>6</v>
      </c>
      <c r="G8" s="25" t="s">
        <v>6</v>
      </c>
      <c r="H8" s="32">
        <v>16.3</v>
      </c>
      <c r="I8" s="25">
        <v>16.100000000000001</v>
      </c>
      <c r="J8" s="25">
        <v>2.88</v>
      </c>
      <c r="K8" s="25">
        <v>7.9000000000000001E-2</v>
      </c>
      <c r="L8" s="33">
        <v>5.1999999999999998E-2</v>
      </c>
      <c r="M8" s="32">
        <v>27.4</v>
      </c>
      <c r="N8" s="24">
        <f t="shared" si="0"/>
        <v>7.3935496000000001</v>
      </c>
      <c r="O8" s="40"/>
      <c r="P8" s="24">
        <f t="shared" si="1"/>
        <v>1.3063449599999999</v>
      </c>
      <c r="Q8" s="24">
        <f t="shared" si="1"/>
        <v>3.5833768000000002E-2</v>
      </c>
      <c r="R8" s="24">
        <f t="shared" si="1"/>
        <v>2.3586784E-2</v>
      </c>
      <c r="S8" s="24">
        <f t="shared" si="1"/>
        <v>12.4284208</v>
      </c>
      <c r="U8" s="1">
        <v>59.5</v>
      </c>
      <c r="V8" s="1">
        <v>0.59</v>
      </c>
      <c r="W8" s="1">
        <v>10.5</v>
      </c>
      <c r="X8" s="1">
        <v>0.28999999999999998</v>
      </c>
      <c r="Y8" s="6">
        <v>0.19</v>
      </c>
      <c r="AB8" s="1" t="s">
        <v>34</v>
      </c>
    </row>
    <row r="9" spans="1:28">
      <c r="A9" s="3"/>
      <c r="D9" s="1">
        <v>4</v>
      </c>
      <c r="F9" s="25" t="s">
        <v>7</v>
      </c>
      <c r="G9" s="25" t="s">
        <v>7</v>
      </c>
      <c r="H9" s="32">
        <v>15.38</v>
      </c>
      <c r="I9" s="25">
        <v>15</v>
      </c>
      <c r="J9" s="25">
        <v>2.6</v>
      </c>
      <c r="K9" s="25">
        <v>7.0999999999999994E-2</v>
      </c>
      <c r="L9" s="33">
        <v>4.8000000000000001E-2</v>
      </c>
      <c r="M9" s="32">
        <v>26.4</v>
      </c>
      <c r="N9" s="24">
        <f t="shared" si="0"/>
        <v>6.9762449600000007</v>
      </c>
      <c r="O9" s="40"/>
      <c r="P9" s="24">
        <f t="shared" si="1"/>
        <v>1.1793392</v>
      </c>
      <c r="Q9" s="24">
        <f t="shared" si="1"/>
        <v>3.2205031999999995E-2</v>
      </c>
      <c r="R9" s="24">
        <f t="shared" si="1"/>
        <v>2.1772415999999999E-2</v>
      </c>
      <c r="S9" s="24">
        <f t="shared" si="1"/>
        <v>11.974828799999999</v>
      </c>
      <c r="U9" s="1">
        <v>58.2</v>
      </c>
      <c r="V9" s="1">
        <v>0.56999999999999995</v>
      </c>
      <c r="W9" s="1">
        <v>9.8000000000000007</v>
      </c>
      <c r="X9" s="1">
        <v>0.27</v>
      </c>
      <c r="Y9" s="6">
        <v>0.18</v>
      </c>
      <c r="AB9" s="1" t="s">
        <v>35</v>
      </c>
    </row>
    <row r="10" spans="1:28">
      <c r="A10" s="3"/>
      <c r="D10" s="1">
        <v>5</v>
      </c>
      <c r="F10" s="25" t="s">
        <v>7</v>
      </c>
      <c r="G10" s="25" t="s">
        <v>7</v>
      </c>
      <c r="H10" s="32">
        <v>14.54</v>
      </c>
      <c r="I10" s="25">
        <v>14</v>
      </c>
      <c r="J10" s="25">
        <v>2.3199999999999998</v>
      </c>
      <c r="K10" s="25">
        <v>6.3E-2</v>
      </c>
      <c r="L10" s="33">
        <v>4.2999999999999997E-2</v>
      </c>
      <c r="M10" s="32">
        <v>25.5</v>
      </c>
      <c r="N10" s="24">
        <f t="shared" si="0"/>
        <v>6.5952276799999998</v>
      </c>
      <c r="O10" s="40"/>
      <c r="P10" s="24">
        <f t="shared" si="1"/>
        <v>1.05233344</v>
      </c>
      <c r="Q10" s="24">
        <f t="shared" si="1"/>
        <v>2.8576296000000001E-2</v>
      </c>
      <c r="R10" s="24">
        <f t="shared" si="1"/>
        <v>1.9504456E-2</v>
      </c>
      <c r="S10" s="24">
        <f t="shared" si="1"/>
        <v>11.566596000000001</v>
      </c>
      <c r="U10" s="1">
        <v>56.9</v>
      </c>
      <c r="V10" s="1">
        <v>0.55000000000000004</v>
      </c>
      <c r="W10" s="1">
        <v>9.1</v>
      </c>
      <c r="X10" s="1">
        <v>0.25</v>
      </c>
      <c r="Y10" s="6">
        <v>0.17</v>
      </c>
      <c r="AB10" s="1" t="s">
        <v>36</v>
      </c>
    </row>
    <row r="11" spans="1:28">
      <c r="A11" s="3"/>
      <c r="D11" s="1">
        <v>6</v>
      </c>
      <c r="F11" s="25" t="s">
        <v>7</v>
      </c>
      <c r="G11" s="25" t="s">
        <v>7</v>
      </c>
      <c r="H11" s="32">
        <v>13.86</v>
      </c>
      <c r="I11" s="25">
        <v>13.2</v>
      </c>
      <c r="J11" s="25">
        <v>2.1</v>
      </c>
      <c r="K11" s="25">
        <v>5.6000000000000001E-2</v>
      </c>
      <c r="L11" s="33">
        <v>3.9E-2</v>
      </c>
      <c r="M11" s="32">
        <v>24.8</v>
      </c>
      <c r="N11" s="24">
        <f t="shared" si="0"/>
        <v>6.2867851199999993</v>
      </c>
      <c r="O11" s="40"/>
      <c r="P11" s="24">
        <f t="shared" si="1"/>
        <v>0.95254320000000003</v>
      </c>
      <c r="Q11" s="24">
        <f t="shared" si="1"/>
        <v>2.5401152E-2</v>
      </c>
      <c r="R11" s="24">
        <f t="shared" si="1"/>
        <v>1.7690088E-2</v>
      </c>
      <c r="S11" s="24">
        <f t="shared" si="1"/>
        <v>11.2490816</v>
      </c>
      <c r="U11" s="1">
        <v>55.9</v>
      </c>
      <c r="V11" s="1">
        <v>0.53</v>
      </c>
      <c r="W11" s="1">
        <v>8.5</v>
      </c>
      <c r="X11" s="1">
        <v>0.23</v>
      </c>
      <c r="Y11" s="6">
        <v>0.16</v>
      </c>
      <c r="AB11" s="1" t="s">
        <v>37</v>
      </c>
    </row>
    <row r="12" spans="1:28">
      <c r="A12" s="3"/>
      <c r="D12" s="1">
        <v>7</v>
      </c>
      <c r="F12" s="25" t="s">
        <v>8</v>
      </c>
      <c r="G12" s="25" t="s">
        <v>8</v>
      </c>
      <c r="H12" s="32">
        <v>13.42</v>
      </c>
      <c r="I12" s="25">
        <v>12.7</v>
      </c>
      <c r="J12" s="25">
        <v>1.93</v>
      </c>
      <c r="K12" s="25">
        <v>5.0999999999999997E-2</v>
      </c>
      <c r="L12" s="33">
        <v>3.5999999999999997E-2</v>
      </c>
      <c r="M12" s="32">
        <v>24.3</v>
      </c>
      <c r="N12" s="24">
        <f t="shared" si="0"/>
        <v>6.0872046399999995</v>
      </c>
      <c r="O12" s="40"/>
      <c r="P12" s="24">
        <f t="shared" si="1"/>
        <v>0.87543255999999992</v>
      </c>
      <c r="Q12" s="24">
        <f t="shared" si="1"/>
        <v>2.3133191999999997E-2</v>
      </c>
      <c r="R12" s="24">
        <f t="shared" si="1"/>
        <v>1.6329311999999999E-2</v>
      </c>
      <c r="S12" s="24">
        <f t="shared" si="1"/>
        <v>11.0222856</v>
      </c>
      <c r="U12" s="1">
        <v>55.3</v>
      </c>
      <c r="V12" s="1">
        <v>0.52</v>
      </c>
      <c r="W12" s="1">
        <v>8</v>
      </c>
      <c r="X12" s="1">
        <v>0.21</v>
      </c>
      <c r="Y12" s="6">
        <v>0.15</v>
      </c>
      <c r="AB12" s="1" t="s">
        <v>38</v>
      </c>
    </row>
    <row r="13" spans="1:28">
      <c r="A13" s="3"/>
      <c r="D13" s="1">
        <v>8</v>
      </c>
      <c r="F13" s="25" t="s">
        <v>8</v>
      </c>
      <c r="G13" s="25" t="s">
        <v>8</v>
      </c>
      <c r="H13" s="32">
        <v>10.99</v>
      </c>
      <c r="I13" s="25">
        <v>9.5</v>
      </c>
      <c r="J13" s="25">
        <v>1.52</v>
      </c>
      <c r="K13" s="25">
        <v>3.7999999999999999E-2</v>
      </c>
      <c r="L13" s="33">
        <v>2.9000000000000001E-2</v>
      </c>
      <c r="M13" s="32">
        <v>22.4</v>
      </c>
      <c r="N13" s="24">
        <f t="shared" si="0"/>
        <v>4.98497608</v>
      </c>
      <c r="O13" s="40"/>
      <c r="P13" s="24">
        <f t="shared" si="1"/>
        <v>0.68945984000000005</v>
      </c>
      <c r="Q13" s="24">
        <f t="shared" si="1"/>
        <v>1.7236496E-2</v>
      </c>
      <c r="R13" s="24">
        <f t="shared" si="1"/>
        <v>1.3154168000000001E-2</v>
      </c>
      <c r="S13" s="24">
        <f t="shared" si="1"/>
        <v>10.160460799999999</v>
      </c>
      <c r="U13" s="1">
        <v>49</v>
      </c>
      <c r="V13" s="1">
        <v>0.42</v>
      </c>
      <c r="W13" s="1">
        <v>6.8</v>
      </c>
      <c r="X13" s="1">
        <v>0.17</v>
      </c>
      <c r="Y13" s="6">
        <v>0.13</v>
      </c>
      <c r="AB13" s="1" t="s">
        <v>39</v>
      </c>
    </row>
    <row r="14" spans="1:28">
      <c r="A14" s="3"/>
      <c r="D14" s="1">
        <v>9</v>
      </c>
      <c r="F14" s="25" t="s">
        <v>8</v>
      </c>
      <c r="G14" s="25" t="s">
        <v>8</v>
      </c>
      <c r="H14" s="32">
        <v>11.26</v>
      </c>
      <c r="I14" s="25">
        <v>9.9</v>
      </c>
      <c r="J14" s="25">
        <v>1.58</v>
      </c>
      <c r="K14" s="25">
        <v>3.7999999999999999E-2</v>
      </c>
      <c r="L14" s="33">
        <v>2.9000000000000001E-2</v>
      </c>
      <c r="M14" s="32">
        <v>22.5</v>
      </c>
      <c r="N14" s="24">
        <f t="shared" si="0"/>
        <v>5.10744592</v>
      </c>
      <c r="O14" s="40"/>
      <c r="P14" s="24">
        <f t="shared" si="1"/>
        <v>0.71667535999999998</v>
      </c>
      <c r="Q14" s="24">
        <f t="shared" si="1"/>
        <v>1.7236496E-2</v>
      </c>
      <c r="R14" s="24">
        <f t="shared" si="1"/>
        <v>1.3154168000000001E-2</v>
      </c>
      <c r="S14" s="24">
        <f t="shared" si="1"/>
        <v>10.205819999999999</v>
      </c>
      <c r="U14" s="1">
        <v>50</v>
      </c>
      <c r="V14" s="1">
        <v>0.44</v>
      </c>
      <c r="W14" s="1">
        <v>7</v>
      </c>
      <c r="X14" s="1">
        <v>0.17</v>
      </c>
      <c r="Y14" s="6">
        <v>0.13</v>
      </c>
    </row>
    <row r="15" spans="1:28">
      <c r="A15" s="3"/>
      <c r="D15" s="1">
        <v>10</v>
      </c>
      <c r="F15" s="25" t="s">
        <v>9</v>
      </c>
      <c r="G15" s="25" t="s">
        <v>9</v>
      </c>
      <c r="H15" s="32">
        <v>11.8</v>
      </c>
      <c r="I15" s="25">
        <v>10.7</v>
      </c>
      <c r="J15" s="25">
        <v>1.68</v>
      </c>
      <c r="K15" s="25">
        <v>6.4000000000000001E-2</v>
      </c>
      <c r="L15" s="33">
        <v>0.04</v>
      </c>
      <c r="M15" s="32">
        <v>22.7</v>
      </c>
      <c r="N15" s="24">
        <f t="shared" si="0"/>
        <v>5.3523855999999999</v>
      </c>
      <c r="O15" s="40"/>
      <c r="P15" s="24">
        <f t="shared" si="1"/>
        <v>0.76203455999999992</v>
      </c>
      <c r="Q15" s="24">
        <f t="shared" si="1"/>
        <v>2.9029888E-2</v>
      </c>
      <c r="R15" s="24">
        <f t="shared" si="1"/>
        <v>1.8143679999999999E-2</v>
      </c>
      <c r="S15" s="24">
        <f t="shared" si="1"/>
        <v>10.296538399999999</v>
      </c>
      <c r="U15" s="1">
        <v>52</v>
      </c>
      <c r="V15" s="1">
        <v>0.47</v>
      </c>
      <c r="W15" s="1">
        <v>7.4</v>
      </c>
      <c r="X15" s="1">
        <v>0.28000000000000003</v>
      </c>
      <c r="Y15" s="6">
        <v>0.17</v>
      </c>
    </row>
    <row r="16" spans="1:28">
      <c r="A16" s="3"/>
      <c r="D16" s="1">
        <v>11</v>
      </c>
      <c r="F16" s="25" t="s">
        <v>9</v>
      </c>
      <c r="G16" s="25" t="s">
        <v>9</v>
      </c>
      <c r="H16" s="32">
        <v>12.59</v>
      </c>
      <c r="I16" s="25">
        <v>11.8</v>
      </c>
      <c r="J16" s="25">
        <v>1.84</v>
      </c>
      <c r="K16" s="25">
        <v>6.4000000000000001E-2</v>
      </c>
      <c r="L16" s="33">
        <v>0.04</v>
      </c>
      <c r="M16" s="32">
        <v>23.1</v>
      </c>
      <c r="N16" s="24">
        <f t="shared" si="0"/>
        <v>5.7107232799999998</v>
      </c>
      <c r="O16" s="40"/>
      <c r="P16" s="24">
        <f t="shared" si="1"/>
        <v>0.83460928000000001</v>
      </c>
      <c r="Q16" s="24">
        <f t="shared" si="1"/>
        <v>2.9029888E-2</v>
      </c>
      <c r="R16" s="24">
        <f t="shared" si="1"/>
        <v>1.8143679999999999E-2</v>
      </c>
      <c r="S16" s="24">
        <f t="shared" si="1"/>
        <v>10.477975200000001</v>
      </c>
      <c r="U16" s="1">
        <v>54.5</v>
      </c>
      <c r="V16" s="1">
        <v>0.51</v>
      </c>
      <c r="W16" s="1">
        <v>8</v>
      </c>
      <c r="X16" s="1">
        <v>0.27</v>
      </c>
      <c r="Y16" s="6">
        <v>0.17</v>
      </c>
    </row>
    <row r="17" spans="1:27">
      <c r="A17" s="13"/>
      <c r="B17" s="8"/>
      <c r="C17" s="8"/>
      <c r="D17" s="8">
        <v>12</v>
      </c>
      <c r="E17" s="8"/>
      <c r="F17" s="35" t="s">
        <v>9</v>
      </c>
      <c r="G17" s="35" t="s">
        <v>9</v>
      </c>
      <c r="H17" s="34">
        <v>13.84</v>
      </c>
      <c r="I17" s="35">
        <v>13.5</v>
      </c>
      <c r="J17" s="35">
        <v>2.11</v>
      </c>
      <c r="K17" s="35">
        <v>6.4000000000000001E-2</v>
      </c>
      <c r="L17" s="36">
        <v>0.04</v>
      </c>
      <c r="M17" s="34">
        <v>23.8</v>
      </c>
      <c r="N17" s="24">
        <f t="shared" si="0"/>
        <v>6.2777132799999995</v>
      </c>
      <c r="O17" s="40"/>
      <c r="P17" s="24">
        <f t="shared" si="1"/>
        <v>0.95707911999999995</v>
      </c>
      <c r="Q17" s="24">
        <f t="shared" si="1"/>
        <v>2.9029888E-2</v>
      </c>
      <c r="R17" s="24">
        <f t="shared" si="1"/>
        <v>1.8143679999999999E-2</v>
      </c>
      <c r="S17" s="24">
        <f t="shared" si="1"/>
        <v>10.7954896</v>
      </c>
      <c r="U17" s="8">
        <v>58.1</v>
      </c>
      <c r="V17" s="8">
        <v>0.56999999999999995</v>
      </c>
      <c r="W17" s="8">
        <v>8.8000000000000007</v>
      </c>
      <c r="X17" s="8">
        <v>0.27</v>
      </c>
      <c r="Y17" s="9">
        <v>0.17</v>
      </c>
    </row>
    <row r="18" spans="1:27">
      <c r="N18" s="24">
        <f t="shared" si="0"/>
        <v>0</v>
      </c>
      <c r="O18" s="40"/>
      <c r="P18" s="24">
        <f t="shared" si="1"/>
        <v>0</v>
      </c>
      <c r="Q18" s="24">
        <f t="shared" si="1"/>
        <v>0</v>
      </c>
      <c r="R18" s="24">
        <f t="shared" si="1"/>
        <v>0</v>
      </c>
      <c r="S18" s="24">
        <f t="shared" si="1"/>
        <v>0</v>
      </c>
    </row>
    <row r="19" spans="1:27">
      <c r="A19" s="11"/>
      <c r="B19" s="10"/>
      <c r="C19" s="10"/>
      <c r="D19" s="10"/>
      <c r="E19" s="10"/>
      <c r="F19" s="37"/>
      <c r="G19" s="37"/>
      <c r="H19" s="26" t="s">
        <v>10</v>
      </c>
      <c r="I19" s="27"/>
      <c r="J19" s="27"/>
      <c r="K19" s="27"/>
      <c r="L19" s="27"/>
      <c r="M19" s="28"/>
      <c r="N19" s="24" t="e">
        <f t="shared" si="0"/>
        <v>#VALUE!</v>
      </c>
      <c r="O19" s="40"/>
      <c r="P19" s="24">
        <f t="shared" si="1"/>
        <v>0</v>
      </c>
      <c r="Q19" s="24">
        <f t="shared" si="1"/>
        <v>0</v>
      </c>
      <c r="R19" s="24">
        <f t="shared" si="1"/>
        <v>0</v>
      </c>
      <c r="S19" s="24">
        <f t="shared" si="1"/>
        <v>0</v>
      </c>
      <c r="T19" s="20" t="s">
        <v>21</v>
      </c>
      <c r="U19" s="21"/>
      <c r="V19" s="21"/>
      <c r="W19" s="21"/>
      <c r="X19" s="21"/>
      <c r="Y19" s="21"/>
      <c r="Z19" s="21"/>
      <c r="AA19" s="22"/>
    </row>
    <row r="20" spans="1:27" ht="26">
      <c r="A20" s="12" t="s">
        <v>22</v>
      </c>
      <c r="B20" s="2" t="s">
        <v>3</v>
      </c>
      <c r="C20" s="2"/>
      <c r="D20" s="2" t="s">
        <v>4</v>
      </c>
      <c r="E20" s="2"/>
      <c r="F20" s="30" t="s">
        <v>5</v>
      </c>
      <c r="G20" s="30" t="s">
        <v>5</v>
      </c>
      <c r="H20" s="29" t="s">
        <v>11</v>
      </c>
      <c r="I20" s="30" t="s">
        <v>23</v>
      </c>
      <c r="J20" s="30" t="s">
        <v>24</v>
      </c>
      <c r="K20" s="30" t="s">
        <v>12</v>
      </c>
      <c r="L20" s="30" t="s">
        <v>13</v>
      </c>
      <c r="M20" s="31" t="s">
        <v>14</v>
      </c>
      <c r="N20" s="24" t="e">
        <f t="shared" si="0"/>
        <v>#VALUE!</v>
      </c>
      <c r="O20" s="40"/>
      <c r="P20" s="24" t="e">
        <f t="shared" si="1"/>
        <v>#VALUE!</v>
      </c>
      <c r="Q20" s="24" t="e">
        <f t="shared" si="1"/>
        <v>#VALUE!</v>
      </c>
      <c r="R20" s="24" t="e">
        <f t="shared" si="1"/>
        <v>#VALUE!</v>
      </c>
      <c r="S20" s="24" t="e">
        <f t="shared" si="1"/>
        <v>#VALUE!</v>
      </c>
      <c r="T20" s="3" t="s">
        <v>15</v>
      </c>
      <c r="U20" s="23"/>
      <c r="V20" s="2" t="s">
        <v>16</v>
      </c>
      <c r="W20" s="2" t="s">
        <v>17</v>
      </c>
      <c r="X20" s="2" t="s">
        <v>24</v>
      </c>
      <c r="Y20" s="2" t="s">
        <v>18</v>
      </c>
      <c r="Z20" s="2" t="s">
        <v>19</v>
      </c>
      <c r="AA20" s="4" t="s">
        <v>20</v>
      </c>
    </row>
    <row r="21" spans="1:27">
      <c r="A21" s="3"/>
      <c r="B21" s="1">
        <v>1020</v>
      </c>
      <c r="C21" s="1">
        <f>B21*I2</f>
        <v>462.66383999999999</v>
      </c>
      <c r="D21" s="1">
        <v>1</v>
      </c>
      <c r="F21" s="25" t="s">
        <v>6</v>
      </c>
      <c r="G21" s="25" t="s">
        <v>6</v>
      </c>
      <c r="H21" s="32">
        <v>14.94</v>
      </c>
      <c r="I21" s="25">
        <v>14.8</v>
      </c>
      <c r="J21" s="25">
        <v>0.3</v>
      </c>
      <c r="K21" s="25">
        <v>2.25</v>
      </c>
      <c r="L21" s="25">
        <v>6.0999999999999999E-2</v>
      </c>
      <c r="M21" s="33">
        <v>0.04</v>
      </c>
      <c r="N21" s="24">
        <f t="shared" si="0"/>
        <v>6.77666448</v>
      </c>
      <c r="O21" s="40"/>
      <c r="P21" s="24">
        <f t="shared" si="1"/>
        <v>0.13607759999999999</v>
      </c>
      <c r="Q21" s="24">
        <f t="shared" si="1"/>
        <v>1.0205820000000001</v>
      </c>
      <c r="R21" s="24">
        <f t="shared" si="1"/>
        <v>2.7669111999999999E-2</v>
      </c>
      <c r="S21" s="24">
        <f t="shared" si="1"/>
        <v>1.8143679999999999E-2</v>
      </c>
      <c r="T21" s="5">
        <v>23.3</v>
      </c>
      <c r="U21" s="24"/>
      <c r="V21" s="1">
        <v>64</v>
      </c>
      <c r="W21" s="1">
        <v>0.66</v>
      </c>
      <c r="X21" s="1">
        <v>0.39</v>
      </c>
      <c r="Y21" s="1">
        <v>9.6999999999999993</v>
      </c>
      <c r="Z21" s="1">
        <v>0.26</v>
      </c>
      <c r="AA21" s="6">
        <v>0.17</v>
      </c>
    </row>
    <row r="22" spans="1:27">
      <c r="A22" s="3"/>
      <c r="D22" s="1">
        <v>2</v>
      </c>
      <c r="F22" s="25" t="s">
        <v>6</v>
      </c>
      <c r="G22" s="25" t="s">
        <v>6</v>
      </c>
      <c r="H22" s="32">
        <v>15.62</v>
      </c>
      <c r="I22" s="25">
        <v>15.6</v>
      </c>
      <c r="J22" s="25">
        <v>0.3</v>
      </c>
      <c r="K22" s="25">
        <v>2.46</v>
      </c>
      <c r="L22" s="25">
        <v>6.7000000000000004E-2</v>
      </c>
      <c r="M22" s="33">
        <v>4.2999999999999997E-2</v>
      </c>
      <c r="N22" s="24">
        <f t="shared" si="0"/>
        <v>7.0851070399999996</v>
      </c>
      <c r="O22" s="40"/>
      <c r="P22" s="24">
        <f t="shared" si="1"/>
        <v>0.13607759999999999</v>
      </c>
      <c r="Q22" s="24">
        <f t="shared" si="1"/>
        <v>1.1158363199999999</v>
      </c>
      <c r="R22" s="24">
        <f t="shared" si="1"/>
        <v>3.0390664000000001E-2</v>
      </c>
      <c r="S22" s="24">
        <f t="shared" si="1"/>
        <v>1.9504456E-2</v>
      </c>
      <c r="T22" s="5">
        <v>24.1</v>
      </c>
      <c r="U22" s="24"/>
      <c r="V22" s="1">
        <v>64.900000000000006</v>
      </c>
      <c r="W22" s="1">
        <v>0.67</v>
      </c>
      <c r="X22" s="1">
        <v>0.39</v>
      </c>
      <c r="Y22" s="1">
        <v>10.199999999999999</v>
      </c>
      <c r="Z22" s="1">
        <v>0.28000000000000003</v>
      </c>
      <c r="AA22" s="6">
        <v>0.18</v>
      </c>
    </row>
    <row r="23" spans="1:27">
      <c r="A23" s="3"/>
      <c r="D23" s="1">
        <v>3</v>
      </c>
      <c r="F23" s="25" t="s">
        <v>6</v>
      </c>
      <c r="G23" s="25" t="s">
        <v>6</v>
      </c>
      <c r="H23" s="32">
        <v>15.39</v>
      </c>
      <c r="I23" s="25">
        <v>15.3</v>
      </c>
      <c r="J23" s="25">
        <v>0.3</v>
      </c>
      <c r="K23" s="25">
        <v>2.35</v>
      </c>
      <c r="L23" s="25">
        <v>6.4000000000000001E-2</v>
      </c>
      <c r="M23" s="33">
        <v>4.1000000000000002E-2</v>
      </c>
      <c r="N23" s="24">
        <f t="shared" si="0"/>
        <v>6.9807808800000002</v>
      </c>
      <c r="O23" s="40"/>
      <c r="P23" s="24">
        <f t="shared" si="1"/>
        <v>0.13607759999999999</v>
      </c>
      <c r="Q23" s="24">
        <f t="shared" si="1"/>
        <v>1.0659411999999999</v>
      </c>
      <c r="R23" s="24">
        <f t="shared" si="1"/>
        <v>2.9029888E-2</v>
      </c>
      <c r="S23" s="24">
        <f t="shared" si="1"/>
        <v>1.8597272000000001E-2</v>
      </c>
      <c r="T23" s="5">
        <v>23.8</v>
      </c>
      <c r="U23" s="24"/>
      <c r="V23" s="1">
        <v>64.599999999999994</v>
      </c>
      <c r="W23" s="1">
        <v>0.66</v>
      </c>
      <c r="X23" s="1">
        <v>0.39</v>
      </c>
      <c r="Y23" s="1">
        <v>9.9</v>
      </c>
      <c r="Z23" s="1">
        <v>0.27</v>
      </c>
      <c r="AA23" s="6">
        <v>0.17</v>
      </c>
    </row>
    <row r="24" spans="1:27">
      <c r="A24" s="3"/>
      <c r="D24" s="1">
        <v>4</v>
      </c>
      <c r="F24" s="25" t="s">
        <v>7</v>
      </c>
      <c r="G24" s="25" t="s">
        <v>7</v>
      </c>
      <c r="H24" s="32">
        <v>14.72</v>
      </c>
      <c r="I24" s="25">
        <v>14.5</v>
      </c>
      <c r="J24" s="25">
        <v>0.3</v>
      </c>
      <c r="K24" s="25">
        <v>2.16</v>
      </c>
      <c r="L24" s="25">
        <v>5.8000000000000003E-2</v>
      </c>
      <c r="M24" s="33">
        <v>3.7999999999999999E-2</v>
      </c>
      <c r="N24" s="24">
        <f t="shared" si="0"/>
        <v>6.6768742400000001</v>
      </c>
      <c r="O24" s="40"/>
      <c r="P24" s="24">
        <f t="shared" si="1"/>
        <v>0.13607759999999999</v>
      </c>
      <c r="Q24" s="24">
        <f t="shared" si="1"/>
        <v>0.97975872000000008</v>
      </c>
      <c r="R24" s="24">
        <f t="shared" si="1"/>
        <v>2.6308336000000002E-2</v>
      </c>
      <c r="S24" s="24">
        <f t="shared" si="1"/>
        <v>1.7236496E-2</v>
      </c>
      <c r="T24" s="5">
        <v>23.2</v>
      </c>
      <c r="U24" s="24"/>
      <c r="V24" s="1">
        <v>63.5</v>
      </c>
      <c r="W24" s="1">
        <v>0.65</v>
      </c>
      <c r="X24" s="1">
        <v>0.39</v>
      </c>
      <c r="Y24" s="1">
        <v>9.3000000000000007</v>
      </c>
      <c r="Z24" s="1">
        <v>0.25</v>
      </c>
      <c r="AA24" s="6">
        <v>0.16</v>
      </c>
    </row>
    <row r="25" spans="1:27">
      <c r="A25" s="3"/>
      <c r="D25" s="1">
        <v>5</v>
      </c>
      <c r="F25" s="25" t="s">
        <v>7</v>
      </c>
      <c r="G25" s="25" t="s">
        <v>7</v>
      </c>
      <c r="H25" s="32">
        <v>14.14</v>
      </c>
      <c r="I25" s="25">
        <v>13.8</v>
      </c>
      <c r="J25" s="25">
        <v>0.3</v>
      </c>
      <c r="K25" s="25">
        <v>1.96</v>
      </c>
      <c r="L25" s="25">
        <v>5.1999999999999998E-2</v>
      </c>
      <c r="M25" s="33">
        <v>3.5000000000000003E-2</v>
      </c>
      <c r="N25" s="24">
        <f t="shared" si="0"/>
        <v>6.4137908800000005</v>
      </c>
      <c r="O25" s="40"/>
      <c r="P25" s="24">
        <f t="shared" si="1"/>
        <v>0.13607759999999999</v>
      </c>
      <c r="Q25" s="24">
        <f t="shared" si="1"/>
        <v>0.88904032</v>
      </c>
      <c r="R25" s="24">
        <f t="shared" si="1"/>
        <v>2.3586784E-2</v>
      </c>
      <c r="S25" s="24">
        <f t="shared" si="1"/>
        <v>1.5875720000000003E-2</v>
      </c>
      <c r="T25" s="5">
        <v>22.6</v>
      </c>
      <c r="U25" s="24"/>
      <c r="V25" s="1">
        <v>62.6</v>
      </c>
      <c r="W25" s="1">
        <v>0.63</v>
      </c>
      <c r="X25" s="1">
        <v>0.39</v>
      </c>
      <c r="Y25" s="1">
        <v>8.6999999999999993</v>
      </c>
      <c r="Z25" s="1">
        <v>0.23</v>
      </c>
      <c r="AA25" s="6">
        <v>0.15</v>
      </c>
    </row>
    <row r="26" spans="1:27">
      <c r="A26" s="3"/>
      <c r="D26" s="1">
        <v>6</v>
      </c>
      <c r="F26" s="25" t="s">
        <v>7</v>
      </c>
      <c r="G26" s="25" t="s">
        <v>7</v>
      </c>
      <c r="H26" s="32">
        <v>13.71</v>
      </c>
      <c r="I26" s="25">
        <v>13.3</v>
      </c>
      <c r="J26" s="25">
        <v>0.3</v>
      </c>
      <c r="K26" s="25">
        <v>1.79</v>
      </c>
      <c r="L26" s="25">
        <v>4.7E-2</v>
      </c>
      <c r="M26" s="33">
        <v>3.2000000000000001E-2</v>
      </c>
      <c r="N26" s="24">
        <f t="shared" si="0"/>
        <v>6.2187463200000002</v>
      </c>
      <c r="O26" s="40"/>
      <c r="P26" s="24">
        <f t="shared" si="1"/>
        <v>0.13607759999999999</v>
      </c>
      <c r="Q26" s="24">
        <f t="shared" si="1"/>
        <v>0.81192967999999999</v>
      </c>
      <c r="R26" s="24">
        <f t="shared" si="1"/>
        <v>2.1318824E-2</v>
      </c>
      <c r="S26" s="24">
        <f t="shared" si="1"/>
        <v>1.4514944E-2</v>
      </c>
      <c r="T26" s="5">
        <v>22.1</v>
      </c>
      <c r="U26" s="24"/>
      <c r="V26" s="1">
        <v>62</v>
      </c>
      <c r="W26" s="1">
        <v>0.63</v>
      </c>
      <c r="X26" s="1">
        <v>0.39</v>
      </c>
      <c r="Y26" s="1">
        <v>8.1</v>
      </c>
      <c r="Z26" s="1">
        <v>0.21</v>
      </c>
      <c r="AA26" s="6">
        <v>0.14000000000000001</v>
      </c>
    </row>
    <row r="27" spans="1:27">
      <c r="A27" s="3"/>
      <c r="D27" s="1">
        <v>7</v>
      </c>
      <c r="F27" s="25" t="s">
        <v>8</v>
      </c>
      <c r="G27" s="25" t="s">
        <v>8</v>
      </c>
      <c r="H27" s="32">
        <v>13.38</v>
      </c>
      <c r="I27" s="25">
        <v>12.9</v>
      </c>
      <c r="J27" s="25">
        <v>0.3</v>
      </c>
      <c r="K27" s="25">
        <v>1.67</v>
      </c>
      <c r="L27" s="25">
        <v>4.2999999999999997E-2</v>
      </c>
      <c r="M27" s="33">
        <v>0.03</v>
      </c>
      <c r="N27" s="24">
        <f t="shared" si="0"/>
        <v>6.0690609600000007</v>
      </c>
      <c r="O27" s="40"/>
      <c r="P27" s="24">
        <f t="shared" si="1"/>
        <v>0.13607759999999999</v>
      </c>
      <c r="Q27" s="24">
        <f t="shared" si="1"/>
        <v>0.75749864</v>
      </c>
      <c r="R27" s="24">
        <f t="shared" si="1"/>
        <v>1.9504456E-2</v>
      </c>
      <c r="S27" s="24">
        <f t="shared" si="1"/>
        <v>1.360776E-2</v>
      </c>
      <c r="T27" s="5">
        <v>21.8</v>
      </c>
      <c r="U27" s="24"/>
      <c r="V27" s="1">
        <v>61.4</v>
      </c>
      <c r="W27" s="1">
        <v>0.62</v>
      </c>
      <c r="X27" s="1">
        <v>0.39</v>
      </c>
      <c r="Y27" s="1">
        <v>7.7</v>
      </c>
      <c r="Z27" s="1">
        <v>0.2</v>
      </c>
      <c r="AA27" s="6">
        <v>0.14000000000000001</v>
      </c>
    </row>
    <row r="28" spans="1:27">
      <c r="A28" s="3"/>
      <c r="D28" s="1">
        <v>8</v>
      </c>
      <c r="F28" s="25" t="s">
        <v>8</v>
      </c>
      <c r="G28" s="25" t="s">
        <v>8</v>
      </c>
      <c r="H28" s="32">
        <v>9.85</v>
      </c>
      <c r="I28" s="25">
        <v>8.1</v>
      </c>
      <c r="J28" s="25">
        <v>0.3</v>
      </c>
      <c r="K28" s="25">
        <v>1.38</v>
      </c>
      <c r="L28" s="25">
        <v>3.4000000000000002E-2</v>
      </c>
      <c r="M28" s="33">
        <v>2.5000000000000001E-2</v>
      </c>
      <c r="N28" s="24">
        <f t="shared" si="0"/>
        <v>4.4678811999999999</v>
      </c>
      <c r="O28" s="40"/>
      <c r="P28" s="24">
        <f t="shared" si="1"/>
        <v>0.13607759999999999</v>
      </c>
      <c r="Q28" s="24">
        <f t="shared" si="1"/>
        <v>0.6259569599999999</v>
      </c>
      <c r="R28" s="24">
        <f t="shared" si="1"/>
        <v>1.5422128E-2</v>
      </c>
      <c r="S28" s="24">
        <f t="shared" si="1"/>
        <v>1.1339800000000001E-2</v>
      </c>
      <c r="T28" s="5">
        <v>19.399999999999999</v>
      </c>
      <c r="U28" s="24"/>
      <c r="V28" s="1">
        <v>50.8</v>
      </c>
      <c r="W28" s="1">
        <v>0.45</v>
      </c>
      <c r="X28" s="1">
        <v>0.39</v>
      </c>
      <c r="Y28" s="1">
        <v>7.1</v>
      </c>
      <c r="Z28" s="1">
        <v>0.17</v>
      </c>
      <c r="AA28" s="6">
        <v>0.13</v>
      </c>
    </row>
    <row r="29" spans="1:27">
      <c r="A29" s="3"/>
      <c r="D29" s="1">
        <v>9</v>
      </c>
      <c r="F29" s="25" t="s">
        <v>8</v>
      </c>
      <c r="G29" s="25" t="s">
        <v>8</v>
      </c>
      <c r="H29" s="32">
        <v>10.11</v>
      </c>
      <c r="I29" s="25">
        <v>8.5</v>
      </c>
      <c r="J29" s="25">
        <v>0.3</v>
      </c>
      <c r="K29" s="25">
        <v>1.43</v>
      </c>
      <c r="L29" s="25">
        <v>3.4000000000000002E-2</v>
      </c>
      <c r="M29" s="33">
        <v>2.5000000000000001E-2</v>
      </c>
      <c r="N29" s="24">
        <f t="shared" si="0"/>
        <v>4.5858151199999995</v>
      </c>
      <c r="O29" s="40"/>
      <c r="P29" s="24">
        <f t="shared" si="1"/>
        <v>0.13607759999999999</v>
      </c>
      <c r="Q29" s="24">
        <f t="shared" si="1"/>
        <v>0.64863655999999992</v>
      </c>
      <c r="R29" s="24">
        <f t="shared" si="1"/>
        <v>1.5422128E-2</v>
      </c>
      <c r="S29" s="24">
        <f t="shared" si="1"/>
        <v>1.1339800000000001E-2</v>
      </c>
      <c r="T29" s="5">
        <v>19.5</v>
      </c>
      <c r="U29" s="24"/>
      <c r="V29" s="1">
        <v>51.7</v>
      </c>
      <c r="W29" s="1">
        <v>0.47</v>
      </c>
      <c r="X29" s="1">
        <v>0.39</v>
      </c>
      <c r="Y29" s="1">
        <v>7.3</v>
      </c>
      <c r="Z29" s="1">
        <v>0.17</v>
      </c>
      <c r="AA29" s="6">
        <v>0.13</v>
      </c>
    </row>
    <row r="30" spans="1:27">
      <c r="A30" s="3"/>
      <c r="D30" s="1">
        <v>10</v>
      </c>
      <c r="F30" s="25" t="s">
        <v>9</v>
      </c>
      <c r="G30" s="25" t="s">
        <v>9</v>
      </c>
      <c r="H30" s="32">
        <v>10.58</v>
      </c>
      <c r="I30" s="25">
        <v>9.1999999999999993</v>
      </c>
      <c r="J30" s="25">
        <v>0.3</v>
      </c>
      <c r="K30" s="25">
        <v>1.52</v>
      </c>
      <c r="L30" s="25">
        <v>5.5E-2</v>
      </c>
      <c r="M30" s="33">
        <v>3.3000000000000002E-2</v>
      </c>
      <c r="N30" s="24">
        <f t="shared" si="0"/>
        <v>4.7990033600000004</v>
      </c>
      <c r="O30" s="40"/>
      <c r="P30" s="24">
        <f t="shared" si="1"/>
        <v>0.13607759999999999</v>
      </c>
      <c r="Q30" s="24">
        <f t="shared" si="1"/>
        <v>0.68945984000000005</v>
      </c>
      <c r="R30" s="24">
        <f t="shared" si="1"/>
        <v>2.4947560000000001E-2</v>
      </c>
      <c r="S30" s="24">
        <f t="shared" si="1"/>
        <v>1.4968536000000001E-2</v>
      </c>
      <c r="T30" s="5">
        <v>19.8</v>
      </c>
      <c r="U30" s="24"/>
      <c r="V30" s="1">
        <v>53.4</v>
      </c>
      <c r="W30" s="1">
        <v>0.49</v>
      </c>
      <c r="X30" s="1">
        <v>0.39</v>
      </c>
      <c r="Y30" s="1">
        <v>7.7</v>
      </c>
      <c r="Z30" s="1">
        <v>0.28000000000000003</v>
      </c>
      <c r="AA30" s="6">
        <v>0.17</v>
      </c>
    </row>
    <row r="31" spans="1:27">
      <c r="A31" s="3"/>
      <c r="D31" s="1">
        <v>11</v>
      </c>
      <c r="F31" s="25" t="s">
        <v>9</v>
      </c>
      <c r="G31" s="25" t="s">
        <v>9</v>
      </c>
      <c r="H31" s="32">
        <v>11.28</v>
      </c>
      <c r="I31" s="25">
        <v>10.199999999999999</v>
      </c>
      <c r="J31" s="25">
        <v>0.3</v>
      </c>
      <c r="K31" s="25">
        <v>1.66</v>
      </c>
      <c r="L31" s="25">
        <v>5.5E-2</v>
      </c>
      <c r="M31" s="33">
        <v>3.3000000000000002E-2</v>
      </c>
      <c r="N31" s="24">
        <f t="shared" si="0"/>
        <v>5.1165177599999998</v>
      </c>
      <c r="O31" s="40"/>
      <c r="P31" s="24">
        <f t="shared" si="1"/>
        <v>0.13607759999999999</v>
      </c>
      <c r="Q31" s="24">
        <f t="shared" si="1"/>
        <v>0.75296271999999997</v>
      </c>
      <c r="R31" s="24">
        <f t="shared" si="1"/>
        <v>2.4947560000000001E-2</v>
      </c>
      <c r="S31" s="24">
        <f t="shared" si="1"/>
        <v>1.4968536000000001E-2</v>
      </c>
      <c r="T31" s="5">
        <v>20.2</v>
      </c>
      <c r="U31" s="24"/>
      <c r="V31" s="1">
        <v>55.8</v>
      </c>
      <c r="W31" s="1">
        <v>0.53</v>
      </c>
      <c r="X31" s="1">
        <v>0.39</v>
      </c>
      <c r="Y31" s="1">
        <v>8.1999999999999993</v>
      </c>
      <c r="Z31" s="1">
        <v>0.27</v>
      </c>
      <c r="AA31" s="6">
        <v>0.16</v>
      </c>
    </row>
    <row r="32" spans="1:27">
      <c r="A32" s="13"/>
      <c r="B32" s="8"/>
      <c r="C32" s="8"/>
      <c r="D32" s="8">
        <v>12</v>
      </c>
      <c r="E32" s="8"/>
      <c r="F32" s="35" t="s">
        <v>9</v>
      </c>
      <c r="G32" s="35" t="s">
        <v>9</v>
      </c>
      <c r="H32" s="34">
        <v>12.27</v>
      </c>
      <c r="I32" s="35">
        <v>11.6</v>
      </c>
      <c r="J32" s="35">
        <v>0.3</v>
      </c>
      <c r="K32" s="35">
        <v>1.88</v>
      </c>
      <c r="L32" s="35">
        <v>5.5E-2</v>
      </c>
      <c r="M32" s="36">
        <v>3.3000000000000002E-2</v>
      </c>
      <c r="N32" s="24">
        <f t="shared" si="0"/>
        <v>5.5655738399999999</v>
      </c>
      <c r="O32" s="40"/>
      <c r="P32" s="24">
        <f t="shared" si="1"/>
        <v>0.13607759999999999</v>
      </c>
      <c r="Q32" s="24">
        <f t="shared" si="1"/>
        <v>0.85275295999999989</v>
      </c>
      <c r="R32" s="24">
        <f t="shared" si="1"/>
        <v>2.4947560000000001E-2</v>
      </c>
      <c r="S32" s="24">
        <f t="shared" si="1"/>
        <v>1.4968536000000001E-2</v>
      </c>
      <c r="T32" s="7">
        <v>20.9</v>
      </c>
      <c r="U32" s="8"/>
      <c r="V32" s="8">
        <v>58.8</v>
      </c>
      <c r="W32" s="8">
        <v>0.57999999999999996</v>
      </c>
      <c r="X32" s="8">
        <v>0.39</v>
      </c>
      <c r="Y32" s="8">
        <v>9</v>
      </c>
      <c r="Z32" s="8">
        <v>0.26</v>
      </c>
      <c r="AA32" s="9">
        <v>0.16</v>
      </c>
    </row>
    <row r="33" spans="1:27">
      <c r="N33" s="24">
        <f t="shared" si="0"/>
        <v>0</v>
      </c>
      <c r="O33" s="40"/>
      <c r="P33" s="24">
        <f t="shared" si="1"/>
        <v>0</v>
      </c>
      <c r="Q33" s="24">
        <f t="shared" si="1"/>
        <v>0</v>
      </c>
      <c r="R33" s="24">
        <f t="shared" si="1"/>
        <v>0</v>
      </c>
      <c r="S33" s="24">
        <f t="shared" si="1"/>
        <v>0</v>
      </c>
    </row>
    <row r="34" spans="1:27">
      <c r="A34" s="11"/>
      <c r="B34" s="10"/>
      <c r="C34" s="10"/>
      <c r="D34" s="10"/>
      <c r="E34" s="10"/>
      <c r="F34" s="37"/>
      <c r="G34" s="37"/>
      <c r="H34" s="26" t="s">
        <v>10</v>
      </c>
      <c r="I34" s="27"/>
      <c r="J34" s="27"/>
      <c r="K34" s="27"/>
      <c r="L34" s="27"/>
      <c r="M34" s="28"/>
      <c r="N34" s="24" t="e">
        <f t="shared" si="0"/>
        <v>#VALUE!</v>
      </c>
      <c r="O34" s="40"/>
      <c r="P34" s="24">
        <f t="shared" si="1"/>
        <v>0</v>
      </c>
      <c r="Q34" s="24">
        <f t="shared" si="1"/>
        <v>0</v>
      </c>
      <c r="R34" s="24">
        <f t="shared" si="1"/>
        <v>0</v>
      </c>
      <c r="S34" s="24">
        <f t="shared" si="1"/>
        <v>0</v>
      </c>
      <c r="T34" s="20" t="s">
        <v>21</v>
      </c>
      <c r="U34" s="21"/>
      <c r="V34" s="21"/>
      <c r="W34" s="21"/>
      <c r="X34" s="21"/>
      <c r="Y34" s="21"/>
      <c r="Z34" s="21"/>
      <c r="AA34" s="22"/>
    </row>
    <row r="35" spans="1:27" ht="26">
      <c r="A35" s="12" t="s">
        <v>25</v>
      </c>
      <c r="B35" s="2" t="s">
        <v>27</v>
      </c>
      <c r="C35" s="2"/>
      <c r="D35" s="2" t="s">
        <v>26</v>
      </c>
      <c r="E35" s="2"/>
      <c r="F35" s="30" t="s">
        <v>122</v>
      </c>
      <c r="G35" s="30" t="s">
        <v>122</v>
      </c>
      <c r="H35" s="29" t="s">
        <v>11</v>
      </c>
      <c r="I35" s="30" t="s">
        <v>23</v>
      </c>
      <c r="J35" s="30" t="s">
        <v>24</v>
      </c>
      <c r="K35" s="30" t="s">
        <v>12</v>
      </c>
      <c r="L35" s="30" t="s">
        <v>13</v>
      </c>
      <c r="M35" s="31" t="s">
        <v>14</v>
      </c>
      <c r="N35" s="24" t="e">
        <f t="shared" si="0"/>
        <v>#VALUE!</v>
      </c>
      <c r="O35" s="40"/>
      <c r="P35" s="24" t="e">
        <f t="shared" si="1"/>
        <v>#VALUE!</v>
      </c>
      <c r="Q35" s="24" t="e">
        <f t="shared" si="1"/>
        <v>#VALUE!</v>
      </c>
      <c r="R35" s="24" t="e">
        <f t="shared" si="1"/>
        <v>#VALUE!</v>
      </c>
      <c r="S35" s="24" t="e">
        <f t="shared" si="1"/>
        <v>#VALUE!</v>
      </c>
      <c r="T35" s="3" t="s">
        <v>15</v>
      </c>
      <c r="U35" s="23"/>
      <c r="V35" s="2" t="s">
        <v>16</v>
      </c>
      <c r="W35" s="2" t="s">
        <v>17</v>
      </c>
      <c r="X35" s="2" t="s">
        <v>24</v>
      </c>
      <c r="Y35" s="2" t="s">
        <v>18</v>
      </c>
      <c r="Z35" s="2" t="s">
        <v>19</v>
      </c>
      <c r="AA35" s="4" t="s">
        <v>20</v>
      </c>
    </row>
    <row r="36" spans="1:27">
      <c r="A36" s="3"/>
      <c r="B36" s="1">
        <v>1300</v>
      </c>
      <c r="C36" s="1">
        <f>B36*I2</f>
        <v>589.66959999999995</v>
      </c>
      <c r="D36" s="1">
        <v>1</v>
      </c>
      <c r="F36" s="25">
        <v>816</v>
      </c>
      <c r="G36" s="25">
        <f>F36*$I$2</f>
        <v>370.13107200000002</v>
      </c>
      <c r="H36" s="32">
        <v>10.07</v>
      </c>
      <c r="I36" s="25">
        <v>6.6</v>
      </c>
      <c r="J36" s="25">
        <v>1.9</v>
      </c>
      <c r="K36" s="25">
        <v>1.54</v>
      </c>
      <c r="L36" s="25">
        <v>4.9000000000000002E-2</v>
      </c>
      <c r="M36" s="33">
        <v>2.8000000000000001E-2</v>
      </c>
      <c r="N36" s="24">
        <f t="shared" si="0"/>
        <v>4.5676714399999998</v>
      </c>
      <c r="O36" s="40"/>
      <c r="P36" s="24">
        <f t="shared" si="1"/>
        <v>0.86182479999999995</v>
      </c>
      <c r="Q36" s="24">
        <f t="shared" si="1"/>
        <v>0.69853167999999999</v>
      </c>
      <c r="R36" s="24">
        <f t="shared" si="1"/>
        <v>2.2226008000000002E-2</v>
      </c>
      <c r="S36" s="24">
        <f t="shared" si="1"/>
        <v>1.2700576E-2</v>
      </c>
      <c r="T36" s="5">
        <v>17</v>
      </c>
      <c r="U36" s="24"/>
      <c r="V36" s="1">
        <v>59.4</v>
      </c>
      <c r="W36" s="1">
        <v>0.59</v>
      </c>
      <c r="X36" s="1">
        <v>0.33</v>
      </c>
      <c r="Y36" s="1">
        <v>9.1</v>
      </c>
      <c r="Z36" s="1">
        <v>0.28999999999999998</v>
      </c>
      <c r="AA36" s="6">
        <v>0.17</v>
      </c>
    </row>
    <row r="37" spans="1:27">
      <c r="A37" s="3"/>
      <c r="D37" s="1">
        <v>2</v>
      </c>
      <c r="H37" s="32">
        <v>10.45</v>
      </c>
      <c r="I37" s="25">
        <v>6.9</v>
      </c>
      <c r="J37" s="25">
        <v>1.9</v>
      </c>
      <c r="K37" s="25">
        <v>1.57</v>
      </c>
      <c r="L37" s="25">
        <v>4.9000000000000002E-2</v>
      </c>
      <c r="M37" s="33">
        <v>2.9000000000000001E-2</v>
      </c>
      <c r="N37" s="24">
        <f t="shared" si="0"/>
        <v>4.7400363999999993</v>
      </c>
      <c r="O37" s="40"/>
      <c r="P37" s="24">
        <f t="shared" si="1"/>
        <v>0.86182479999999995</v>
      </c>
      <c r="Q37" s="24">
        <f t="shared" si="1"/>
        <v>0.71213944000000007</v>
      </c>
      <c r="R37" s="24">
        <f t="shared" si="1"/>
        <v>2.2226008000000002E-2</v>
      </c>
      <c r="S37" s="24">
        <f t="shared" si="1"/>
        <v>1.3154168000000001E-2</v>
      </c>
      <c r="T37" s="5">
        <v>17.5</v>
      </c>
      <c r="U37" s="24"/>
      <c r="V37" s="1">
        <v>59.6</v>
      </c>
      <c r="W37" s="1">
        <v>0.59</v>
      </c>
      <c r="X37" s="1">
        <v>0.33</v>
      </c>
      <c r="Y37" s="1">
        <v>8.9</v>
      </c>
      <c r="Z37" s="1">
        <v>0.28000000000000003</v>
      </c>
      <c r="AA37" s="6">
        <v>0.16</v>
      </c>
    </row>
    <row r="38" spans="1:27">
      <c r="A38" s="3"/>
      <c r="D38" s="1">
        <v>3</v>
      </c>
      <c r="H38" s="32">
        <v>10.75</v>
      </c>
      <c r="I38" s="25">
        <v>7.1</v>
      </c>
      <c r="J38" s="25">
        <v>2</v>
      </c>
      <c r="K38" s="25">
        <v>1.6</v>
      </c>
      <c r="L38" s="25">
        <v>0.05</v>
      </c>
      <c r="M38" s="33">
        <v>2.9000000000000001E-2</v>
      </c>
      <c r="N38" s="24">
        <f t="shared" si="0"/>
        <v>4.8761140000000003</v>
      </c>
      <c r="O38" s="40"/>
      <c r="P38" s="24">
        <f t="shared" si="1"/>
        <v>0.90718399999999999</v>
      </c>
      <c r="Q38" s="24">
        <f t="shared" si="1"/>
        <v>0.72574720000000004</v>
      </c>
      <c r="R38" s="24">
        <f t="shared" si="1"/>
        <v>2.2679600000000001E-2</v>
      </c>
      <c r="S38" s="24">
        <f t="shared" si="1"/>
        <v>1.3154168000000001E-2</v>
      </c>
      <c r="T38" s="5">
        <v>18</v>
      </c>
      <c r="U38" s="24"/>
      <c r="V38" s="1">
        <v>59.6</v>
      </c>
      <c r="W38" s="1">
        <v>0.59</v>
      </c>
      <c r="X38" s="1">
        <v>0.33</v>
      </c>
      <c r="Y38" s="1">
        <v>8.8000000000000007</v>
      </c>
      <c r="Z38" s="1">
        <v>0.28000000000000003</v>
      </c>
      <c r="AA38" s="6">
        <v>0.16</v>
      </c>
    </row>
    <row r="39" spans="1:27">
      <c r="A39" s="3"/>
      <c r="D39" s="1">
        <v>4</v>
      </c>
      <c r="H39" s="32">
        <v>11.18</v>
      </c>
      <c r="I39" s="25">
        <v>7.5</v>
      </c>
      <c r="J39" s="25">
        <v>2</v>
      </c>
      <c r="K39" s="25">
        <v>1.63</v>
      </c>
      <c r="L39" s="25">
        <v>0.05</v>
      </c>
      <c r="M39" s="33">
        <v>0.03</v>
      </c>
      <c r="N39" s="24">
        <f t="shared" si="0"/>
        <v>5.0711585599999998</v>
      </c>
      <c r="O39" s="40"/>
      <c r="P39" s="24">
        <f t="shared" si="1"/>
        <v>0.90718399999999999</v>
      </c>
      <c r="Q39" s="24">
        <f t="shared" si="1"/>
        <v>0.73935495999999989</v>
      </c>
      <c r="R39" s="24">
        <f t="shared" si="1"/>
        <v>2.2679600000000001E-2</v>
      </c>
      <c r="S39" s="24">
        <f t="shared" si="1"/>
        <v>1.360776E-2</v>
      </c>
      <c r="T39" s="5">
        <v>18.600000000000001</v>
      </c>
      <c r="U39" s="24"/>
      <c r="V39" s="1">
        <v>60</v>
      </c>
      <c r="W39" s="1">
        <v>0.59</v>
      </c>
      <c r="X39" s="1">
        <v>0.33</v>
      </c>
      <c r="Y39" s="1">
        <v>8.8000000000000007</v>
      </c>
      <c r="Z39" s="1">
        <v>0.27</v>
      </c>
      <c r="AA39" s="6">
        <v>0.16</v>
      </c>
    </row>
    <row r="40" spans="1:27">
      <c r="A40" s="3"/>
      <c r="D40" s="1">
        <v>5</v>
      </c>
      <c r="H40" s="32">
        <v>11.6</v>
      </c>
      <c r="I40" s="25">
        <v>7.9</v>
      </c>
      <c r="J40" s="25">
        <v>2.1</v>
      </c>
      <c r="K40" s="25">
        <v>1.69</v>
      </c>
      <c r="L40" s="25">
        <v>5.0999999999999997E-2</v>
      </c>
      <c r="M40" s="33">
        <v>3.1E-2</v>
      </c>
      <c r="N40" s="24">
        <f t="shared" si="0"/>
        <v>5.2616671999999998</v>
      </c>
      <c r="O40" s="40"/>
      <c r="P40" s="24">
        <f t="shared" si="1"/>
        <v>0.95254320000000003</v>
      </c>
      <c r="Q40" s="24">
        <f t="shared" si="1"/>
        <v>0.76657047999999994</v>
      </c>
      <c r="R40" s="24">
        <f t="shared" si="1"/>
        <v>2.3133191999999997E-2</v>
      </c>
      <c r="S40" s="24">
        <f t="shared" si="1"/>
        <v>1.4061351999999999E-2</v>
      </c>
      <c r="T40" s="5">
        <v>19.2</v>
      </c>
      <c r="U40" s="24"/>
      <c r="V40" s="1">
        <v>60.3</v>
      </c>
      <c r="W40" s="1">
        <v>0.6</v>
      </c>
      <c r="X40" s="1">
        <v>0.34</v>
      </c>
      <c r="Y40" s="1">
        <v>8.8000000000000007</v>
      </c>
      <c r="Z40" s="1">
        <v>0.26</v>
      </c>
      <c r="AA40" s="6">
        <v>0.16</v>
      </c>
    </row>
    <row r="41" spans="1:27">
      <c r="A41" s="3"/>
      <c r="D41" s="1">
        <v>6</v>
      </c>
      <c r="H41" s="32">
        <v>12.13</v>
      </c>
      <c r="I41" s="25">
        <v>8.5</v>
      </c>
      <c r="J41" s="25">
        <v>2.1</v>
      </c>
      <c r="K41" s="25">
        <v>1.76</v>
      </c>
      <c r="L41" s="25">
        <v>5.1999999999999998E-2</v>
      </c>
      <c r="M41" s="33">
        <v>3.1E-2</v>
      </c>
      <c r="N41" s="24">
        <f t="shared" si="0"/>
        <v>5.5020709600000002</v>
      </c>
      <c r="O41" s="40"/>
      <c r="P41" s="24">
        <f t="shared" si="1"/>
        <v>0.95254320000000003</v>
      </c>
      <c r="Q41" s="24">
        <f t="shared" si="1"/>
        <v>0.79832192000000002</v>
      </c>
      <c r="R41" s="24">
        <f t="shared" si="1"/>
        <v>2.3586784E-2</v>
      </c>
      <c r="S41" s="24">
        <f t="shared" si="1"/>
        <v>1.4061351999999999E-2</v>
      </c>
      <c r="T41" s="5">
        <v>19.899999999999999</v>
      </c>
      <c r="U41" s="24"/>
      <c r="V41" s="1">
        <v>61</v>
      </c>
      <c r="W41" s="1">
        <v>0.61</v>
      </c>
      <c r="X41" s="1">
        <v>0.35</v>
      </c>
      <c r="Y41" s="1">
        <v>8.9</v>
      </c>
      <c r="Z41" s="1">
        <v>0.26</v>
      </c>
      <c r="AA41" s="6">
        <v>0.16</v>
      </c>
    </row>
    <row r="42" spans="1:27">
      <c r="A42" s="3"/>
      <c r="D42" s="1">
        <v>7</v>
      </c>
      <c r="H42" s="32">
        <v>12.76</v>
      </c>
      <c r="I42" s="25">
        <v>9.3000000000000007</v>
      </c>
      <c r="J42" s="25">
        <v>2.1</v>
      </c>
      <c r="K42" s="25">
        <v>1.88</v>
      </c>
      <c r="L42" s="25">
        <v>7.3999999999999996E-2</v>
      </c>
      <c r="M42" s="33">
        <v>4.1000000000000002E-2</v>
      </c>
      <c r="N42" s="24">
        <f t="shared" si="0"/>
        <v>5.7878339199999997</v>
      </c>
      <c r="O42" s="40"/>
      <c r="P42" s="24">
        <f t="shared" si="1"/>
        <v>0.95254320000000003</v>
      </c>
      <c r="Q42" s="24">
        <f t="shared" si="1"/>
        <v>0.85275295999999989</v>
      </c>
      <c r="R42" s="24">
        <f t="shared" si="1"/>
        <v>3.3565807999999996E-2</v>
      </c>
      <c r="S42" s="24">
        <f t="shared" si="1"/>
        <v>1.8597272000000001E-2</v>
      </c>
      <c r="T42" s="5">
        <v>20.6</v>
      </c>
      <c r="U42" s="24"/>
      <c r="V42" s="1">
        <v>62</v>
      </c>
      <c r="W42" s="1">
        <v>0.63</v>
      </c>
      <c r="X42" s="1">
        <v>0.36</v>
      </c>
      <c r="Y42" s="1">
        <v>9.1</v>
      </c>
      <c r="Z42" s="1">
        <v>0.36</v>
      </c>
      <c r="AA42" s="6">
        <v>0.2</v>
      </c>
    </row>
    <row r="43" spans="1:27">
      <c r="A43" s="3"/>
      <c r="D43" s="1">
        <v>8</v>
      </c>
      <c r="H43" s="32">
        <v>13.61</v>
      </c>
      <c r="I43" s="25">
        <v>10.5</v>
      </c>
      <c r="J43" s="25">
        <v>2</v>
      </c>
      <c r="K43" s="25">
        <v>2.06</v>
      </c>
      <c r="L43" s="25">
        <v>7.5999999999999998E-2</v>
      </c>
      <c r="M43" s="33">
        <v>4.2000000000000003E-2</v>
      </c>
      <c r="N43" s="24">
        <f t="shared" si="0"/>
        <v>6.1733871200000001</v>
      </c>
      <c r="O43" s="40"/>
      <c r="P43" s="24">
        <f t="shared" si="1"/>
        <v>0.90718399999999999</v>
      </c>
      <c r="Q43" s="24">
        <f t="shared" si="1"/>
        <v>0.93439952000000004</v>
      </c>
      <c r="R43" s="24">
        <f t="shared" si="1"/>
        <v>3.4472992000000001E-2</v>
      </c>
      <c r="S43" s="24">
        <f t="shared" si="1"/>
        <v>1.9050864000000001E-2</v>
      </c>
      <c r="T43" s="5">
        <v>21.4</v>
      </c>
      <c r="U43" s="24"/>
      <c r="V43" s="1">
        <v>63.5</v>
      </c>
      <c r="W43" s="1">
        <v>0.65</v>
      </c>
      <c r="X43" s="1">
        <v>0.38</v>
      </c>
      <c r="Y43" s="1">
        <v>9.6</v>
      </c>
      <c r="Z43" s="1">
        <v>0.35</v>
      </c>
      <c r="AA43" s="6">
        <v>0.2</v>
      </c>
    </row>
    <row r="44" spans="1:27">
      <c r="A44" s="3"/>
      <c r="D44" s="1">
        <v>9</v>
      </c>
      <c r="F44" s="25">
        <v>1205</v>
      </c>
      <c r="G44" s="25">
        <f>F44*$I$2</f>
        <v>546.57835999999998</v>
      </c>
      <c r="H44" s="34">
        <v>14.66</v>
      </c>
      <c r="I44" s="35">
        <v>12.1</v>
      </c>
      <c r="J44" s="35">
        <v>1.8</v>
      </c>
      <c r="K44" s="35">
        <v>2.35</v>
      </c>
      <c r="L44" s="35">
        <v>7.8E-2</v>
      </c>
      <c r="M44" s="36">
        <v>4.2999999999999997E-2</v>
      </c>
      <c r="N44" s="24">
        <f t="shared" si="0"/>
        <v>6.6496587199999997</v>
      </c>
      <c r="O44" s="40"/>
      <c r="P44" s="24">
        <f t="shared" si="1"/>
        <v>0.81646560000000001</v>
      </c>
      <c r="Q44" s="24">
        <f t="shared" si="1"/>
        <v>1.0659411999999999</v>
      </c>
      <c r="R44" s="24">
        <f t="shared" si="1"/>
        <v>3.5380175999999999E-2</v>
      </c>
      <c r="S44" s="24">
        <f t="shared" si="1"/>
        <v>1.9504456E-2</v>
      </c>
      <c r="T44" s="7">
        <v>22.4</v>
      </c>
      <c r="U44" s="8"/>
      <c r="V44" s="8">
        <v>65.400000000000006</v>
      </c>
      <c r="W44" s="8">
        <v>0.68</v>
      </c>
      <c r="X44" s="8">
        <v>0.41</v>
      </c>
      <c r="Y44" s="8">
        <v>10.5</v>
      </c>
      <c r="Z44" s="8">
        <v>0.35</v>
      </c>
      <c r="AA44" s="9">
        <v>0.19</v>
      </c>
    </row>
    <row r="45" spans="1:27">
      <c r="A45" s="13"/>
      <c r="B45" s="8"/>
      <c r="C45" s="8"/>
      <c r="D45" s="8"/>
      <c r="E45" s="8"/>
      <c r="F45" s="35"/>
      <c r="G45" s="35"/>
      <c r="H45" s="35"/>
      <c r="I45" s="35"/>
      <c r="J45" s="35"/>
      <c r="K45" s="35"/>
      <c r="L45" s="35"/>
      <c r="M45" s="35"/>
      <c r="N45" s="24">
        <f t="shared" si="0"/>
        <v>0</v>
      </c>
      <c r="O45" s="40"/>
      <c r="P45" s="24">
        <f t="shared" si="1"/>
        <v>0</v>
      </c>
      <c r="Q45" s="24">
        <f t="shared" si="1"/>
        <v>0</v>
      </c>
      <c r="R45" s="24">
        <f t="shared" si="1"/>
        <v>0</v>
      </c>
      <c r="S45" s="24">
        <f t="shared" si="1"/>
        <v>0</v>
      </c>
      <c r="T45" s="8"/>
      <c r="U45" s="8"/>
      <c r="V45" s="8"/>
      <c r="W45" s="8"/>
      <c r="X45" s="8"/>
      <c r="Y45" s="8"/>
      <c r="Z45" s="8"/>
      <c r="AA45" s="9"/>
    </row>
    <row r="46" spans="1:27">
      <c r="A46" s="11"/>
      <c r="B46" s="10"/>
      <c r="C46" s="10"/>
      <c r="D46" s="10"/>
      <c r="E46" s="10"/>
      <c r="F46" s="37"/>
      <c r="G46" s="37"/>
      <c r="H46" s="26" t="s">
        <v>10</v>
      </c>
      <c r="I46" s="27"/>
      <c r="J46" s="27"/>
      <c r="K46" s="27"/>
      <c r="L46" s="27"/>
      <c r="M46" s="28"/>
      <c r="N46" s="24" t="e">
        <f t="shared" si="0"/>
        <v>#VALUE!</v>
      </c>
      <c r="O46" s="40"/>
      <c r="P46" s="24">
        <f t="shared" si="1"/>
        <v>0</v>
      </c>
      <c r="Q46" s="24">
        <f t="shared" si="1"/>
        <v>0</v>
      </c>
      <c r="R46" s="24">
        <f t="shared" si="1"/>
        <v>0</v>
      </c>
      <c r="S46" s="24">
        <f t="shared" si="1"/>
        <v>0</v>
      </c>
      <c r="T46" s="20" t="s">
        <v>21</v>
      </c>
      <c r="U46" s="21"/>
      <c r="V46" s="21"/>
      <c r="W46" s="21"/>
      <c r="X46" s="21"/>
      <c r="Y46" s="21"/>
      <c r="Z46" s="21"/>
      <c r="AA46" s="22"/>
    </row>
    <row r="47" spans="1:27" ht="39">
      <c r="A47" s="12" t="s">
        <v>29</v>
      </c>
      <c r="B47" s="2" t="s">
        <v>27</v>
      </c>
      <c r="C47" s="2"/>
      <c r="D47" s="2" t="s">
        <v>31</v>
      </c>
      <c r="E47" s="2" t="s">
        <v>121</v>
      </c>
      <c r="F47" s="30" t="s">
        <v>30</v>
      </c>
      <c r="G47" s="30"/>
      <c r="H47" s="29" t="s">
        <v>11</v>
      </c>
      <c r="I47" s="30" t="s">
        <v>23</v>
      </c>
      <c r="J47" s="30" t="s">
        <v>24</v>
      </c>
      <c r="K47" s="30" t="s">
        <v>12</v>
      </c>
      <c r="L47" s="30" t="s">
        <v>13</v>
      </c>
      <c r="M47" s="31" t="s">
        <v>14</v>
      </c>
      <c r="N47" s="24" t="e">
        <f t="shared" si="0"/>
        <v>#VALUE!</v>
      </c>
      <c r="O47" s="40"/>
      <c r="P47" s="24" t="e">
        <f t="shared" si="1"/>
        <v>#VALUE!</v>
      </c>
      <c r="Q47" s="24" t="e">
        <f t="shared" si="1"/>
        <v>#VALUE!</v>
      </c>
      <c r="R47" s="24" t="e">
        <f t="shared" si="1"/>
        <v>#VALUE!</v>
      </c>
      <c r="S47" s="24" t="e">
        <f t="shared" si="1"/>
        <v>#VALUE!</v>
      </c>
      <c r="T47" s="3" t="s">
        <v>15</v>
      </c>
      <c r="U47" s="23"/>
      <c r="V47" s="2" t="s">
        <v>16</v>
      </c>
      <c r="W47" s="2" t="s">
        <v>17</v>
      </c>
      <c r="X47" s="2" t="s">
        <v>24</v>
      </c>
      <c r="Y47" s="2" t="s">
        <v>18</v>
      </c>
      <c r="Z47" s="2" t="s">
        <v>19</v>
      </c>
      <c r="AA47" s="4" t="s">
        <v>20</v>
      </c>
    </row>
    <row r="48" spans="1:27">
      <c r="A48" s="3"/>
      <c r="B48" s="1">
        <v>1300</v>
      </c>
      <c r="C48" s="1">
        <f>B48*I2</f>
        <v>589.66959999999995</v>
      </c>
      <c r="D48" s="1">
        <v>400</v>
      </c>
      <c r="E48" s="1">
        <f>D48*$I$2</f>
        <v>181.43680000000001</v>
      </c>
      <c r="F48" s="25">
        <v>1</v>
      </c>
      <c r="G48" s="25">
        <f>F48*$I$2</f>
        <v>0.453592</v>
      </c>
      <c r="H48" s="32">
        <v>5.67</v>
      </c>
      <c r="I48" s="25">
        <v>3.9</v>
      </c>
      <c r="J48" s="25">
        <v>1</v>
      </c>
      <c r="K48" s="25">
        <v>1.04</v>
      </c>
      <c r="L48" s="25">
        <v>0.04</v>
      </c>
      <c r="M48" s="33">
        <v>0.02</v>
      </c>
      <c r="N48" s="24">
        <f t="shared" si="0"/>
        <v>2.5718666400000001</v>
      </c>
      <c r="O48" s="40"/>
      <c r="P48" s="24">
        <f t="shared" si="1"/>
        <v>0.453592</v>
      </c>
      <c r="Q48" s="24">
        <f t="shared" si="1"/>
        <v>0.47173567999999999</v>
      </c>
      <c r="R48" s="24">
        <f t="shared" si="1"/>
        <v>1.8143679999999999E-2</v>
      </c>
      <c r="S48" s="24">
        <f t="shared" si="1"/>
        <v>9.0718399999999994E-3</v>
      </c>
      <c r="T48" s="5">
        <v>9.5</v>
      </c>
      <c r="U48" s="24"/>
      <c r="V48" s="1">
        <v>59.5</v>
      </c>
      <c r="W48" s="1">
        <v>0.59</v>
      </c>
      <c r="X48" s="1">
        <v>0.33</v>
      </c>
      <c r="Y48" s="1">
        <v>10.9</v>
      </c>
      <c r="Z48" s="1">
        <v>0.42</v>
      </c>
      <c r="AA48" s="6">
        <v>0.21</v>
      </c>
    </row>
    <row r="49" spans="1:27">
      <c r="A49" s="3"/>
      <c r="D49" s="1">
        <v>500</v>
      </c>
      <c r="E49" s="1">
        <f>D49*$I$2</f>
        <v>226.79599999999999</v>
      </c>
      <c r="F49" s="25">
        <v>1</v>
      </c>
      <c r="G49" s="25">
        <f t="shared" ref="G49:G112" si="2">F49*$I$2</f>
        <v>0.453592</v>
      </c>
      <c r="H49" s="32">
        <v>6.69</v>
      </c>
      <c r="I49" s="25">
        <v>4.5999999999999996</v>
      </c>
      <c r="J49" s="25">
        <v>1.2</v>
      </c>
      <c r="K49" s="25">
        <v>1.1200000000000001</v>
      </c>
      <c r="L49" s="25">
        <v>4.1000000000000002E-2</v>
      </c>
      <c r="M49" s="33">
        <v>2.1999999999999999E-2</v>
      </c>
      <c r="N49" s="24">
        <f t="shared" si="0"/>
        <v>3.0345304800000004</v>
      </c>
      <c r="O49" s="40"/>
      <c r="P49" s="24">
        <f t="shared" si="1"/>
        <v>0.54431039999999997</v>
      </c>
      <c r="Q49" s="24">
        <f t="shared" si="1"/>
        <v>0.50802304000000009</v>
      </c>
      <c r="R49" s="24">
        <f t="shared" si="1"/>
        <v>1.8597272000000001E-2</v>
      </c>
      <c r="S49" s="24">
        <f t="shared" si="1"/>
        <v>9.9790239999999995E-3</v>
      </c>
      <c r="T49" s="5">
        <v>11.3</v>
      </c>
      <c r="U49" s="24"/>
      <c r="V49" s="1">
        <v>59.4</v>
      </c>
      <c r="W49" s="1">
        <v>0.59</v>
      </c>
      <c r="X49" s="1">
        <v>0.33</v>
      </c>
      <c r="Y49" s="1">
        <v>10</v>
      </c>
      <c r="Z49" s="1">
        <v>0.36</v>
      </c>
      <c r="AA49" s="6">
        <v>0.19</v>
      </c>
    </row>
    <row r="50" spans="1:27">
      <c r="A50" s="3"/>
      <c r="D50" s="1">
        <v>600</v>
      </c>
      <c r="E50" s="1">
        <f>D50*$I$2</f>
        <v>272.15519999999998</v>
      </c>
      <c r="F50" s="25">
        <v>1</v>
      </c>
      <c r="G50" s="25">
        <f t="shared" si="2"/>
        <v>0.453592</v>
      </c>
      <c r="H50" s="32">
        <v>7.7</v>
      </c>
      <c r="I50" s="25">
        <v>5.3</v>
      </c>
      <c r="J50" s="25">
        <v>1.3</v>
      </c>
      <c r="K50" s="25">
        <v>1.2</v>
      </c>
      <c r="L50" s="25">
        <v>4.2000000000000003E-2</v>
      </c>
      <c r="M50" s="33">
        <v>2.4E-2</v>
      </c>
      <c r="N50" s="24">
        <f t="shared" si="0"/>
        <v>3.4926583999999998</v>
      </c>
      <c r="O50" s="40"/>
      <c r="P50" s="24">
        <f t="shared" si="1"/>
        <v>0.58966960000000002</v>
      </c>
      <c r="Q50" s="24">
        <f t="shared" si="1"/>
        <v>0.54431039999999997</v>
      </c>
      <c r="R50" s="24">
        <f t="shared" si="1"/>
        <v>1.9050864000000001E-2</v>
      </c>
      <c r="S50" s="24">
        <f t="shared" si="1"/>
        <v>1.0886208E-2</v>
      </c>
      <c r="T50" s="5">
        <v>12.9</v>
      </c>
      <c r="U50" s="24"/>
      <c r="V50" s="1">
        <v>59.5</v>
      </c>
      <c r="W50" s="1">
        <v>0.59</v>
      </c>
      <c r="X50" s="1">
        <v>0.33</v>
      </c>
      <c r="Y50" s="1">
        <v>9.3000000000000007</v>
      </c>
      <c r="Z50" s="1">
        <v>0.33</v>
      </c>
      <c r="AA50" s="6">
        <v>0.18</v>
      </c>
    </row>
    <row r="51" spans="1:27">
      <c r="A51" s="3"/>
      <c r="D51" s="1">
        <v>700</v>
      </c>
      <c r="E51" s="1">
        <f>D51*$I$2</f>
        <v>317.51440000000002</v>
      </c>
      <c r="F51" s="25">
        <v>1</v>
      </c>
      <c r="G51" s="25">
        <f t="shared" si="2"/>
        <v>0.453592</v>
      </c>
      <c r="H51" s="32">
        <v>8.61</v>
      </c>
      <c r="I51" s="25">
        <v>5.9</v>
      </c>
      <c r="J51" s="25">
        <v>1.5</v>
      </c>
      <c r="K51" s="25">
        <v>1.28</v>
      </c>
      <c r="L51" s="25">
        <v>4.3999999999999997E-2</v>
      </c>
      <c r="M51" s="33">
        <v>2.5000000000000001E-2</v>
      </c>
      <c r="N51" s="24">
        <f t="shared" si="0"/>
        <v>3.9054271199999997</v>
      </c>
      <c r="O51" s="40"/>
      <c r="P51" s="24">
        <f t="shared" si="1"/>
        <v>0.68038799999999999</v>
      </c>
      <c r="Q51" s="24">
        <f t="shared" si="1"/>
        <v>0.58059775999999996</v>
      </c>
      <c r="R51" s="24">
        <f t="shared" si="1"/>
        <v>1.9958047999999999E-2</v>
      </c>
      <c r="S51" s="24">
        <f t="shared" si="1"/>
        <v>1.1339800000000001E-2</v>
      </c>
      <c r="T51" s="5">
        <v>14.5</v>
      </c>
      <c r="U51" s="24"/>
      <c r="V51" s="1">
        <v>59.4</v>
      </c>
      <c r="W51" s="1">
        <v>0.59</v>
      </c>
      <c r="X51" s="1">
        <v>0.33</v>
      </c>
      <c r="Y51" s="1">
        <v>8.8000000000000007</v>
      </c>
      <c r="Z51" s="1">
        <v>0.3</v>
      </c>
      <c r="AA51" s="6">
        <v>0.17</v>
      </c>
    </row>
    <row r="52" spans="1:27">
      <c r="A52" s="3"/>
      <c r="D52" s="1">
        <v>800</v>
      </c>
      <c r="E52" s="1">
        <f>D52*$I$2</f>
        <v>362.87360000000001</v>
      </c>
      <c r="F52" s="25">
        <v>1</v>
      </c>
      <c r="G52" s="25">
        <f t="shared" si="2"/>
        <v>0.453592</v>
      </c>
      <c r="H52" s="32">
        <v>9.5</v>
      </c>
      <c r="I52" s="25">
        <v>6.5</v>
      </c>
      <c r="J52" s="25">
        <v>1.6</v>
      </c>
      <c r="K52" s="25">
        <v>1.35</v>
      </c>
      <c r="L52" s="25">
        <v>4.5999999999999999E-2</v>
      </c>
      <c r="M52" s="33">
        <v>2.7E-2</v>
      </c>
      <c r="N52" s="24">
        <f t="shared" si="0"/>
        <v>4.3091239999999997</v>
      </c>
      <c r="O52" s="40"/>
      <c r="P52" s="24">
        <f t="shared" si="1"/>
        <v>0.72574720000000004</v>
      </c>
      <c r="Q52" s="24">
        <f t="shared" si="1"/>
        <v>0.61234920000000004</v>
      </c>
      <c r="R52" s="24">
        <f t="shared" si="1"/>
        <v>2.0865232000000001E-2</v>
      </c>
      <c r="S52" s="24">
        <f t="shared" si="1"/>
        <v>1.2246983999999999E-2</v>
      </c>
      <c r="T52" s="5">
        <v>16</v>
      </c>
      <c r="U52" s="24"/>
      <c r="V52" s="1">
        <v>59.3</v>
      </c>
      <c r="W52" s="1">
        <v>0.59</v>
      </c>
      <c r="X52" s="1">
        <v>0.33</v>
      </c>
      <c r="Y52" s="1">
        <v>8.4</v>
      </c>
      <c r="Z52" s="1">
        <v>0.28000000000000003</v>
      </c>
      <c r="AA52" s="6">
        <v>0.17</v>
      </c>
    </row>
    <row r="53" spans="1:27">
      <c r="A53" s="3"/>
      <c r="D53" s="1">
        <v>400</v>
      </c>
      <c r="E53" s="1">
        <f>D53*$I$2</f>
        <v>181.43680000000001</v>
      </c>
      <c r="F53" s="25">
        <v>1.5</v>
      </c>
      <c r="G53" s="25">
        <f t="shared" si="2"/>
        <v>0.68038799999999999</v>
      </c>
      <c r="H53" s="32">
        <v>6.24</v>
      </c>
      <c r="I53" s="25">
        <v>3.9</v>
      </c>
      <c r="J53" s="25">
        <v>1.5</v>
      </c>
      <c r="K53" s="25">
        <v>1.25</v>
      </c>
      <c r="L53" s="25">
        <v>5.2999999999999999E-2</v>
      </c>
      <c r="M53" s="33">
        <v>2.5999999999999999E-2</v>
      </c>
      <c r="N53" s="24">
        <f t="shared" si="0"/>
        <v>2.8304140800000002</v>
      </c>
      <c r="O53" s="40"/>
      <c r="P53" s="24">
        <f t="shared" si="1"/>
        <v>0.68038799999999999</v>
      </c>
      <c r="Q53" s="24">
        <f t="shared" si="1"/>
        <v>0.56698999999999999</v>
      </c>
      <c r="R53" s="24">
        <f t="shared" si="1"/>
        <v>2.4040375999999999E-2</v>
      </c>
      <c r="S53" s="24">
        <f t="shared" si="1"/>
        <v>1.1793392E-2</v>
      </c>
      <c r="T53" s="5">
        <v>9.6999999999999993</v>
      </c>
      <c r="U53" s="24"/>
      <c r="V53" s="1">
        <v>64</v>
      </c>
      <c r="W53" s="1">
        <v>0.66</v>
      </c>
      <c r="X53" s="1">
        <v>0.39</v>
      </c>
      <c r="Y53" s="1">
        <v>12.8</v>
      </c>
      <c r="Z53" s="1">
        <v>0.54</v>
      </c>
      <c r="AA53" s="6">
        <v>0.26</v>
      </c>
    </row>
    <row r="54" spans="1:27">
      <c r="A54" s="3"/>
      <c r="D54" s="1">
        <v>500</v>
      </c>
      <c r="E54" s="1">
        <f>D54*$I$2</f>
        <v>226.79599999999999</v>
      </c>
      <c r="F54" s="25">
        <v>1.5</v>
      </c>
      <c r="G54" s="25">
        <f t="shared" si="2"/>
        <v>0.68038799999999999</v>
      </c>
      <c r="H54" s="32">
        <v>7.37</v>
      </c>
      <c r="I54" s="25">
        <v>4.5999999999999996</v>
      </c>
      <c r="J54" s="25">
        <v>1.8</v>
      </c>
      <c r="K54" s="25">
        <v>1.32</v>
      </c>
      <c r="L54" s="25">
        <v>5.3999999999999999E-2</v>
      </c>
      <c r="M54" s="33">
        <v>2.7E-2</v>
      </c>
      <c r="N54" s="24">
        <f t="shared" si="0"/>
        <v>3.34297304</v>
      </c>
      <c r="O54" s="40"/>
      <c r="P54" s="24">
        <f t="shared" si="1"/>
        <v>0.81646560000000001</v>
      </c>
      <c r="Q54" s="24">
        <f t="shared" si="1"/>
        <v>0.59874144000000007</v>
      </c>
      <c r="R54" s="24">
        <f t="shared" si="1"/>
        <v>2.4493967999999998E-2</v>
      </c>
      <c r="S54" s="24">
        <f t="shared" si="1"/>
        <v>1.2246983999999999E-2</v>
      </c>
      <c r="T54" s="5">
        <v>11.5</v>
      </c>
      <c r="U54" s="24"/>
      <c r="V54" s="1">
        <v>64</v>
      </c>
      <c r="W54" s="1">
        <v>0.66</v>
      </c>
      <c r="X54" s="1">
        <v>0.39</v>
      </c>
      <c r="Y54" s="1">
        <v>11.5</v>
      </c>
      <c r="Z54" s="1">
        <v>0.47</v>
      </c>
      <c r="AA54" s="6">
        <v>0.23</v>
      </c>
    </row>
    <row r="55" spans="1:27">
      <c r="A55" s="3"/>
      <c r="D55" s="1">
        <v>600</v>
      </c>
      <c r="E55" s="1">
        <f>D55*$I$2</f>
        <v>272.15519999999998</v>
      </c>
      <c r="F55" s="25">
        <v>1.5</v>
      </c>
      <c r="G55" s="25">
        <f t="shared" si="2"/>
        <v>0.68038799999999999</v>
      </c>
      <c r="H55" s="32">
        <v>8.4700000000000006</v>
      </c>
      <c r="I55" s="25">
        <v>5.3</v>
      </c>
      <c r="J55" s="25">
        <v>2</v>
      </c>
      <c r="K55" s="25">
        <v>1.39</v>
      </c>
      <c r="L55" s="25">
        <v>5.3999999999999999E-2</v>
      </c>
      <c r="M55" s="33">
        <v>2.8000000000000001E-2</v>
      </c>
      <c r="N55" s="24">
        <f t="shared" si="0"/>
        <v>3.8419242400000004</v>
      </c>
      <c r="O55" s="40"/>
      <c r="P55" s="24">
        <f t="shared" si="1"/>
        <v>0.90718399999999999</v>
      </c>
      <c r="Q55" s="24">
        <f t="shared" si="1"/>
        <v>0.63049287999999992</v>
      </c>
      <c r="R55" s="24">
        <f t="shared" si="1"/>
        <v>2.4493967999999998E-2</v>
      </c>
      <c r="S55" s="24">
        <f t="shared" si="1"/>
        <v>1.2700576E-2</v>
      </c>
      <c r="T55" s="5">
        <v>13.2</v>
      </c>
      <c r="U55" s="24"/>
      <c r="V55" s="1">
        <v>64.099999999999994</v>
      </c>
      <c r="W55" s="1">
        <v>0.66</v>
      </c>
      <c r="X55" s="1">
        <v>0.39</v>
      </c>
      <c r="Y55" s="1">
        <v>10.5</v>
      </c>
      <c r="Z55" s="1">
        <v>0.41</v>
      </c>
      <c r="AA55" s="6">
        <v>0.21</v>
      </c>
    </row>
    <row r="56" spans="1:27">
      <c r="A56" s="3"/>
      <c r="D56" s="1">
        <v>700</v>
      </c>
      <c r="E56" s="1">
        <f>D56*$I$2</f>
        <v>317.51440000000002</v>
      </c>
      <c r="F56" s="25">
        <v>1.5</v>
      </c>
      <c r="G56" s="25">
        <f t="shared" si="2"/>
        <v>0.68038799999999999</v>
      </c>
      <c r="H56" s="32">
        <v>9.4700000000000006</v>
      </c>
      <c r="I56" s="25">
        <v>5.9</v>
      </c>
      <c r="J56" s="25">
        <v>2.2000000000000002</v>
      </c>
      <c r="K56" s="25">
        <v>1.45</v>
      </c>
      <c r="L56" s="25">
        <v>5.5E-2</v>
      </c>
      <c r="M56" s="33">
        <v>0.03</v>
      </c>
      <c r="N56" s="24">
        <f t="shared" si="0"/>
        <v>4.2955162400000004</v>
      </c>
      <c r="O56" s="40"/>
      <c r="P56" s="24">
        <f t="shared" si="1"/>
        <v>0.99790240000000008</v>
      </c>
      <c r="Q56" s="24">
        <f t="shared" si="1"/>
        <v>0.65770839999999997</v>
      </c>
      <c r="R56" s="24">
        <f t="shared" si="1"/>
        <v>2.4947560000000001E-2</v>
      </c>
      <c r="S56" s="24">
        <f t="shared" si="1"/>
        <v>1.360776E-2</v>
      </c>
      <c r="T56" s="5">
        <v>14.8</v>
      </c>
      <c r="U56" s="24"/>
      <c r="V56" s="1">
        <v>63.9</v>
      </c>
      <c r="W56" s="1">
        <v>0.65</v>
      </c>
      <c r="X56" s="1">
        <v>0.39</v>
      </c>
      <c r="Y56" s="1">
        <v>9.8000000000000007</v>
      </c>
      <c r="Z56" s="1">
        <v>0.37</v>
      </c>
      <c r="AA56" s="6">
        <v>0.2</v>
      </c>
    </row>
    <row r="57" spans="1:27">
      <c r="A57" s="3"/>
      <c r="D57" s="1">
        <v>800</v>
      </c>
      <c r="E57" s="1">
        <f>D57*$I$2</f>
        <v>362.87360000000001</v>
      </c>
      <c r="F57" s="25">
        <v>1.5</v>
      </c>
      <c r="G57" s="25">
        <f t="shared" si="2"/>
        <v>0.68038799999999999</v>
      </c>
      <c r="H57" s="32">
        <v>10.46</v>
      </c>
      <c r="I57" s="25">
        <v>6.5</v>
      </c>
      <c r="J57" s="25">
        <v>2.5</v>
      </c>
      <c r="K57" s="25">
        <v>1.51</v>
      </c>
      <c r="L57" s="25">
        <v>5.6000000000000001E-2</v>
      </c>
      <c r="M57" s="33">
        <v>3.1E-2</v>
      </c>
      <c r="N57" s="24">
        <f t="shared" si="0"/>
        <v>4.7445723200000005</v>
      </c>
      <c r="O57" s="40"/>
      <c r="P57" s="24">
        <f t="shared" si="1"/>
        <v>1.13398</v>
      </c>
      <c r="Q57" s="24">
        <f t="shared" si="1"/>
        <v>0.68492392000000002</v>
      </c>
      <c r="R57" s="24">
        <f t="shared" si="1"/>
        <v>2.5401152E-2</v>
      </c>
      <c r="S57" s="24">
        <f t="shared" si="1"/>
        <v>1.4061351999999999E-2</v>
      </c>
      <c r="T57" s="5">
        <v>16.399999999999999</v>
      </c>
      <c r="U57" s="24"/>
      <c r="V57" s="1">
        <v>63.9</v>
      </c>
      <c r="W57" s="1">
        <v>0.65</v>
      </c>
      <c r="X57" s="1">
        <v>0.39</v>
      </c>
      <c r="Y57" s="1">
        <v>9.1999999999999993</v>
      </c>
      <c r="Z57" s="1">
        <v>0.34</v>
      </c>
      <c r="AA57" s="6">
        <v>0.19</v>
      </c>
    </row>
    <row r="58" spans="1:27">
      <c r="A58" s="3"/>
      <c r="D58" s="1">
        <v>400</v>
      </c>
      <c r="E58" s="1">
        <f>D58*$I$2</f>
        <v>181.43680000000001</v>
      </c>
      <c r="F58" s="25">
        <v>2</v>
      </c>
      <c r="G58" s="25">
        <f t="shared" si="2"/>
        <v>0.90718399999999999</v>
      </c>
      <c r="H58" s="32">
        <v>6.76</v>
      </c>
      <c r="I58" s="25">
        <v>3.9</v>
      </c>
      <c r="J58" s="25">
        <v>2.1</v>
      </c>
      <c r="K58" s="25">
        <v>1.46</v>
      </c>
      <c r="L58" s="25">
        <v>6.6000000000000003E-2</v>
      </c>
      <c r="M58" s="33">
        <v>3.1E-2</v>
      </c>
      <c r="N58" s="24">
        <f t="shared" si="0"/>
        <v>3.0662819199999998</v>
      </c>
      <c r="O58" s="40"/>
      <c r="P58" s="24">
        <f t="shared" si="1"/>
        <v>0.95254320000000003</v>
      </c>
      <c r="Q58" s="24">
        <f t="shared" si="1"/>
        <v>0.66224432</v>
      </c>
      <c r="R58" s="24">
        <f t="shared" si="1"/>
        <v>2.9937072000000002E-2</v>
      </c>
      <c r="S58" s="24">
        <f t="shared" si="1"/>
        <v>1.4061351999999999E-2</v>
      </c>
      <c r="T58" s="5">
        <v>9.8000000000000007</v>
      </c>
      <c r="U58" s="24"/>
      <c r="V58" s="1">
        <v>69.2</v>
      </c>
      <c r="W58" s="1">
        <v>0.73</v>
      </c>
      <c r="X58" s="1">
        <v>0.46</v>
      </c>
      <c r="Y58" s="1">
        <v>14.9</v>
      </c>
      <c r="Z58" s="1">
        <v>0.68</v>
      </c>
      <c r="AA58" s="6">
        <v>0.32</v>
      </c>
    </row>
    <row r="59" spans="1:27">
      <c r="A59" s="3"/>
      <c r="D59" s="1">
        <v>500</v>
      </c>
      <c r="E59" s="1">
        <f>D59*$I$2</f>
        <v>226.79599999999999</v>
      </c>
      <c r="F59" s="25">
        <v>2</v>
      </c>
      <c r="G59" s="25">
        <f t="shared" si="2"/>
        <v>0.90718399999999999</v>
      </c>
      <c r="H59" s="32">
        <v>7.99</v>
      </c>
      <c r="I59" s="25">
        <v>4.5999999999999996</v>
      </c>
      <c r="J59" s="25">
        <v>2.4</v>
      </c>
      <c r="K59" s="25">
        <v>1.51</v>
      </c>
      <c r="L59" s="25">
        <v>6.6000000000000003E-2</v>
      </c>
      <c r="M59" s="33">
        <v>3.2000000000000001E-2</v>
      </c>
      <c r="N59" s="24">
        <f t="shared" si="0"/>
        <v>3.62420008</v>
      </c>
      <c r="O59" s="40"/>
      <c r="P59" s="24">
        <f t="shared" si="1"/>
        <v>1.0886207999999999</v>
      </c>
      <c r="Q59" s="24">
        <f t="shared" si="1"/>
        <v>0.68492392000000002</v>
      </c>
      <c r="R59" s="24">
        <f t="shared" si="1"/>
        <v>2.9937072000000002E-2</v>
      </c>
      <c r="S59" s="24">
        <f t="shared" si="1"/>
        <v>1.4514944E-2</v>
      </c>
      <c r="T59" s="5">
        <v>11.6</v>
      </c>
      <c r="U59" s="24"/>
      <c r="V59" s="1">
        <v>69.099999999999994</v>
      </c>
      <c r="W59" s="1">
        <v>0.73</v>
      </c>
      <c r="X59" s="1">
        <v>0.46</v>
      </c>
      <c r="Y59" s="1">
        <v>13.1</v>
      </c>
      <c r="Z59" s="1">
        <v>0.56999999999999995</v>
      </c>
      <c r="AA59" s="6">
        <v>0.28000000000000003</v>
      </c>
    </row>
    <row r="60" spans="1:27">
      <c r="A60" s="3"/>
      <c r="D60" s="1">
        <v>600</v>
      </c>
      <c r="E60" s="1">
        <f>D60*$I$2</f>
        <v>272.15519999999998</v>
      </c>
      <c r="F60" s="25">
        <v>2</v>
      </c>
      <c r="G60" s="25">
        <f t="shared" si="2"/>
        <v>0.90718399999999999</v>
      </c>
      <c r="H60" s="32">
        <v>9.17</v>
      </c>
      <c r="I60" s="25">
        <v>5.3</v>
      </c>
      <c r="J60" s="25">
        <v>2.7</v>
      </c>
      <c r="K60" s="25">
        <v>1.57</v>
      </c>
      <c r="L60" s="25">
        <v>6.6000000000000003E-2</v>
      </c>
      <c r="M60" s="33">
        <v>3.3000000000000002E-2</v>
      </c>
      <c r="N60" s="24">
        <f t="shared" si="0"/>
        <v>4.1594386400000003</v>
      </c>
      <c r="O60" s="40"/>
      <c r="P60" s="24">
        <f t="shared" si="1"/>
        <v>1.2246984000000001</v>
      </c>
      <c r="Q60" s="24">
        <f t="shared" si="1"/>
        <v>0.71213944000000007</v>
      </c>
      <c r="R60" s="24">
        <f t="shared" si="1"/>
        <v>2.9937072000000002E-2</v>
      </c>
      <c r="S60" s="24">
        <f t="shared" si="1"/>
        <v>1.4968536000000001E-2</v>
      </c>
      <c r="T60" s="5">
        <v>13.2</v>
      </c>
      <c r="U60" s="24"/>
      <c r="V60" s="1">
        <v>69.2</v>
      </c>
      <c r="W60" s="1">
        <v>0.73</v>
      </c>
      <c r="X60" s="1">
        <v>0.46</v>
      </c>
      <c r="Y60" s="1">
        <v>11.8</v>
      </c>
      <c r="Z60" s="1">
        <v>0.5</v>
      </c>
      <c r="AA60" s="6">
        <v>0.25</v>
      </c>
    </row>
    <row r="61" spans="1:27">
      <c r="A61" s="3"/>
      <c r="D61" s="1">
        <v>700</v>
      </c>
      <c r="E61" s="1">
        <f>D61*$I$2</f>
        <v>317.51440000000002</v>
      </c>
      <c r="F61" s="25">
        <v>2</v>
      </c>
      <c r="G61" s="25">
        <f t="shared" si="2"/>
        <v>0.90718399999999999</v>
      </c>
      <c r="H61" s="32">
        <v>10.27</v>
      </c>
      <c r="I61" s="25">
        <v>5.9</v>
      </c>
      <c r="J61" s="25">
        <v>3.1</v>
      </c>
      <c r="K61" s="25">
        <v>1.62</v>
      </c>
      <c r="L61" s="25">
        <v>6.5000000000000002E-2</v>
      </c>
      <c r="M61" s="33">
        <v>3.4000000000000002E-2</v>
      </c>
      <c r="N61" s="24">
        <f t="shared" si="0"/>
        <v>4.6583898399999999</v>
      </c>
      <c r="O61" s="40"/>
      <c r="P61" s="24">
        <f t="shared" si="1"/>
        <v>1.4061352</v>
      </c>
      <c r="Q61" s="24">
        <f t="shared" si="1"/>
        <v>0.73481904000000009</v>
      </c>
      <c r="R61" s="24">
        <f t="shared" si="1"/>
        <v>2.9483479999999999E-2</v>
      </c>
      <c r="S61" s="24">
        <f t="shared" si="1"/>
        <v>1.5422128E-2</v>
      </c>
      <c r="T61" s="5">
        <v>14.9</v>
      </c>
      <c r="U61" s="24"/>
      <c r="V61" s="1">
        <v>69.099999999999994</v>
      </c>
      <c r="W61" s="1">
        <v>0.73</v>
      </c>
      <c r="X61" s="1">
        <v>0.46</v>
      </c>
      <c r="Y61" s="1">
        <v>10.9</v>
      </c>
      <c r="Z61" s="1">
        <v>0.44</v>
      </c>
      <c r="AA61" s="6">
        <v>0.23</v>
      </c>
    </row>
    <row r="62" spans="1:27">
      <c r="A62" s="13"/>
      <c r="B62" s="8"/>
      <c r="C62" s="8"/>
      <c r="D62" s="8">
        <v>800</v>
      </c>
      <c r="E62" s="1">
        <f>D62*$I$2</f>
        <v>362.87360000000001</v>
      </c>
      <c r="F62" s="25">
        <v>2</v>
      </c>
      <c r="G62" s="25">
        <f t="shared" si="2"/>
        <v>0.90718399999999999</v>
      </c>
      <c r="H62" s="34">
        <v>11.34</v>
      </c>
      <c r="I62" s="35">
        <v>6.5</v>
      </c>
      <c r="J62" s="35">
        <v>3.4</v>
      </c>
      <c r="K62" s="35">
        <v>1.67</v>
      </c>
      <c r="L62" s="35">
        <v>6.5000000000000002E-2</v>
      </c>
      <c r="M62" s="36">
        <v>3.5000000000000003E-2</v>
      </c>
      <c r="N62" s="24">
        <f t="shared" si="0"/>
        <v>5.1437332800000002</v>
      </c>
      <c r="O62" s="40"/>
      <c r="P62" s="24">
        <f t="shared" si="1"/>
        <v>1.5422127999999999</v>
      </c>
      <c r="Q62" s="24">
        <f t="shared" si="1"/>
        <v>0.75749864</v>
      </c>
      <c r="R62" s="24">
        <f t="shared" si="1"/>
        <v>2.9483479999999999E-2</v>
      </c>
      <c r="S62" s="24">
        <f t="shared" si="1"/>
        <v>1.5875720000000003E-2</v>
      </c>
      <c r="T62" s="7">
        <v>16.399999999999999</v>
      </c>
      <c r="U62" s="8"/>
      <c r="V62" s="8">
        <v>69</v>
      </c>
      <c r="W62" s="8">
        <v>0.73</v>
      </c>
      <c r="X62" s="8">
        <v>0.45</v>
      </c>
      <c r="Y62" s="8">
        <v>10.1</v>
      </c>
      <c r="Z62" s="8">
        <v>0.4</v>
      </c>
      <c r="AA62" s="9">
        <v>0.21</v>
      </c>
    </row>
    <row r="63" spans="1:27">
      <c r="E63" s="1">
        <f>D63*$I$2</f>
        <v>0</v>
      </c>
      <c r="G63" s="25">
        <f t="shared" si="2"/>
        <v>0</v>
      </c>
      <c r="N63" s="24">
        <f t="shared" si="0"/>
        <v>0</v>
      </c>
      <c r="O63" s="40"/>
      <c r="P63" s="24">
        <f t="shared" si="1"/>
        <v>0</v>
      </c>
      <c r="Q63" s="24">
        <f t="shared" si="1"/>
        <v>0</v>
      </c>
      <c r="R63" s="24">
        <f t="shared" si="1"/>
        <v>0</v>
      </c>
      <c r="S63" s="24">
        <f t="shared" si="1"/>
        <v>0</v>
      </c>
    </row>
    <row r="64" spans="1:27">
      <c r="A64" s="11"/>
      <c r="B64" s="10"/>
      <c r="C64" s="10"/>
      <c r="D64" s="10"/>
      <c r="E64" s="1">
        <f>D64*$I$2</f>
        <v>0</v>
      </c>
      <c r="F64" s="37"/>
      <c r="G64" s="25">
        <f t="shared" si="2"/>
        <v>0</v>
      </c>
      <c r="H64" s="26" t="s">
        <v>10</v>
      </c>
      <c r="I64" s="27"/>
      <c r="J64" s="27"/>
      <c r="K64" s="27"/>
      <c r="L64" s="27"/>
      <c r="M64" s="28"/>
      <c r="N64" s="24" t="e">
        <f t="shared" si="0"/>
        <v>#VALUE!</v>
      </c>
      <c r="O64" s="40"/>
      <c r="P64" s="24">
        <f t="shared" si="1"/>
        <v>0</v>
      </c>
      <c r="Q64" s="24">
        <f t="shared" si="1"/>
        <v>0</v>
      </c>
      <c r="R64" s="24">
        <f t="shared" si="1"/>
        <v>0</v>
      </c>
      <c r="S64" s="24">
        <f t="shared" si="1"/>
        <v>0</v>
      </c>
      <c r="T64" s="21" t="s">
        <v>21</v>
      </c>
      <c r="U64" s="21"/>
      <c r="V64" s="21"/>
      <c r="W64" s="21"/>
      <c r="X64" s="21"/>
      <c r="Y64" s="21"/>
      <c r="Z64" s="21"/>
      <c r="AA64" s="22"/>
    </row>
    <row r="65" spans="1:27" ht="26">
      <c r="A65" s="12" t="s">
        <v>40</v>
      </c>
      <c r="B65" s="2" t="s">
        <v>27</v>
      </c>
      <c r="C65" s="2"/>
      <c r="D65" s="2" t="s">
        <v>31</v>
      </c>
      <c r="E65" s="1" t="e">
        <f>D65*$I$2</f>
        <v>#VALUE!</v>
      </c>
      <c r="F65" s="30" t="s">
        <v>30</v>
      </c>
      <c r="G65" s="25" t="e">
        <f t="shared" si="2"/>
        <v>#VALUE!</v>
      </c>
      <c r="H65" s="29" t="s">
        <v>11</v>
      </c>
      <c r="I65" s="30" t="s">
        <v>23</v>
      </c>
      <c r="J65" s="30" t="s">
        <v>24</v>
      </c>
      <c r="K65" s="30" t="s">
        <v>12</v>
      </c>
      <c r="L65" s="30" t="s">
        <v>13</v>
      </c>
      <c r="M65" s="31" t="s">
        <v>14</v>
      </c>
      <c r="N65" s="24" t="e">
        <f t="shared" si="0"/>
        <v>#VALUE!</v>
      </c>
      <c r="O65" s="40"/>
      <c r="P65" s="24" t="e">
        <f t="shared" si="1"/>
        <v>#VALUE!</v>
      </c>
      <c r="Q65" s="24" t="e">
        <f t="shared" si="1"/>
        <v>#VALUE!</v>
      </c>
      <c r="R65" s="24" t="e">
        <f t="shared" si="1"/>
        <v>#VALUE!</v>
      </c>
      <c r="S65" s="24" t="e">
        <f t="shared" si="1"/>
        <v>#VALUE!</v>
      </c>
      <c r="T65" s="3" t="s">
        <v>15</v>
      </c>
      <c r="U65" s="23"/>
      <c r="V65" s="2" t="s">
        <v>16</v>
      </c>
      <c r="W65" s="2" t="s">
        <v>17</v>
      </c>
      <c r="X65" s="2" t="s">
        <v>24</v>
      </c>
      <c r="Y65" s="2" t="s">
        <v>18</v>
      </c>
      <c r="Z65" s="2" t="s">
        <v>19</v>
      </c>
      <c r="AA65" s="4" t="s">
        <v>20</v>
      </c>
    </row>
    <row r="66" spans="1:27">
      <c r="A66" s="3"/>
      <c r="B66" s="1">
        <v>1200</v>
      </c>
      <c r="C66" s="1">
        <f>B66*I2</f>
        <v>544.31039999999996</v>
      </c>
      <c r="D66" s="1">
        <v>400</v>
      </c>
      <c r="E66" s="1">
        <f>D66*$I$2</f>
        <v>181.43680000000001</v>
      </c>
      <c r="F66" s="25">
        <v>1.5</v>
      </c>
      <c r="G66" s="25">
        <f t="shared" si="2"/>
        <v>0.68038799999999999</v>
      </c>
      <c r="H66" s="32">
        <v>6.26</v>
      </c>
      <c r="I66" s="25">
        <v>3.9</v>
      </c>
      <c r="J66" s="25">
        <v>1.6</v>
      </c>
      <c r="K66" s="25">
        <v>1.25</v>
      </c>
      <c r="L66" s="25">
        <v>5.1999999999999998E-2</v>
      </c>
      <c r="M66" s="33">
        <v>2.5000000000000001E-2</v>
      </c>
      <c r="N66" s="24">
        <f t="shared" si="0"/>
        <v>2.83948592</v>
      </c>
      <c r="O66" s="40"/>
      <c r="P66" s="24">
        <f t="shared" si="1"/>
        <v>0.72574720000000004</v>
      </c>
      <c r="Q66" s="24">
        <f t="shared" si="1"/>
        <v>0.56698999999999999</v>
      </c>
      <c r="R66" s="24">
        <f t="shared" si="1"/>
        <v>2.3586784E-2</v>
      </c>
      <c r="S66" s="24">
        <f t="shared" si="1"/>
        <v>1.1339800000000001E-2</v>
      </c>
      <c r="T66" s="1">
        <v>10</v>
      </c>
      <c r="V66" s="1">
        <v>62.3</v>
      </c>
      <c r="W66" s="1">
        <v>0.65</v>
      </c>
      <c r="X66" s="1">
        <v>0.39</v>
      </c>
      <c r="Y66" s="1">
        <v>12.4</v>
      </c>
      <c r="Z66" s="1">
        <v>0.52</v>
      </c>
      <c r="AA66" s="6">
        <v>0.25</v>
      </c>
    </row>
    <row r="67" spans="1:27">
      <c r="A67" s="3"/>
      <c r="D67" s="1">
        <v>500</v>
      </c>
      <c r="E67" s="1">
        <f>D67*$I$2</f>
        <v>226.79599999999999</v>
      </c>
      <c r="F67" s="25">
        <v>1.5</v>
      </c>
      <c r="G67" s="25">
        <f t="shared" si="2"/>
        <v>0.68038799999999999</v>
      </c>
      <c r="H67" s="32">
        <v>7.4</v>
      </c>
      <c r="I67" s="25">
        <v>4.5999999999999996</v>
      </c>
      <c r="J67" s="25">
        <v>1.9</v>
      </c>
      <c r="K67" s="25">
        <v>1.32</v>
      </c>
      <c r="L67" s="25">
        <v>5.2999999999999999E-2</v>
      </c>
      <c r="M67" s="33">
        <v>2.7E-2</v>
      </c>
      <c r="N67" s="24">
        <f t="shared" si="0"/>
        <v>3.3565808000000001</v>
      </c>
      <c r="O67" s="40"/>
      <c r="P67" s="24">
        <f t="shared" si="1"/>
        <v>0.86182479999999995</v>
      </c>
      <c r="Q67" s="24">
        <f t="shared" si="1"/>
        <v>0.59874144000000007</v>
      </c>
      <c r="R67" s="24">
        <f t="shared" si="1"/>
        <v>2.4040375999999999E-2</v>
      </c>
      <c r="S67" s="24">
        <f t="shared" si="1"/>
        <v>1.2246983999999999E-2</v>
      </c>
      <c r="T67" s="1">
        <v>11.9</v>
      </c>
      <c r="V67" s="1">
        <v>62.3</v>
      </c>
      <c r="W67" s="1">
        <v>0.65</v>
      </c>
      <c r="X67" s="1">
        <v>0.39</v>
      </c>
      <c r="Y67" s="1">
        <v>11.1</v>
      </c>
      <c r="Z67" s="1">
        <v>0.44</v>
      </c>
      <c r="AA67" s="6">
        <v>0.22</v>
      </c>
    </row>
    <row r="68" spans="1:27">
      <c r="A68" s="3"/>
      <c r="D68" s="1">
        <v>600</v>
      </c>
      <c r="E68" s="1">
        <f>D68*$I$2</f>
        <v>272.15519999999998</v>
      </c>
      <c r="F68" s="25">
        <v>1.5</v>
      </c>
      <c r="G68" s="25">
        <f t="shared" si="2"/>
        <v>0.68038799999999999</v>
      </c>
      <c r="H68" s="32">
        <v>8.5</v>
      </c>
      <c r="I68" s="25">
        <v>5.3</v>
      </c>
      <c r="J68" s="25">
        <v>2.1</v>
      </c>
      <c r="K68" s="25">
        <v>1.38</v>
      </c>
      <c r="L68" s="25">
        <v>5.2999999999999999E-2</v>
      </c>
      <c r="M68" s="33">
        <v>2.8000000000000001E-2</v>
      </c>
      <c r="N68" s="24">
        <f t="shared" si="0"/>
        <v>3.8555320000000002</v>
      </c>
      <c r="O68" s="40"/>
      <c r="P68" s="24">
        <f t="shared" si="1"/>
        <v>0.95254320000000003</v>
      </c>
      <c r="Q68" s="24">
        <f t="shared" si="1"/>
        <v>0.6259569599999999</v>
      </c>
      <c r="R68" s="24">
        <f t="shared" si="1"/>
        <v>2.4040375999999999E-2</v>
      </c>
      <c r="S68" s="24">
        <f t="shared" si="1"/>
        <v>1.2700576E-2</v>
      </c>
      <c r="T68" s="1">
        <v>13.6</v>
      </c>
      <c r="V68" s="1">
        <v>62.4</v>
      </c>
      <c r="W68" s="1">
        <v>0.65</v>
      </c>
      <c r="X68" s="1">
        <v>0.39</v>
      </c>
      <c r="Y68" s="1">
        <v>10.1</v>
      </c>
      <c r="Z68" s="1">
        <v>0.39</v>
      </c>
      <c r="AA68" s="6">
        <v>0.2</v>
      </c>
    </row>
    <row r="69" spans="1:27">
      <c r="A69" s="3"/>
      <c r="D69" s="1">
        <v>700</v>
      </c>
      <c r="E69" s="1">
        <f>D69*$I$2</f>
        <v>317.51440000000002</v>
      </c>
      <c r="F69" s="25">
        <v>1.5</v>
      </c>
      <c r="G69" s="25">
        <f t="shared" si="2"/>
        <v>0.68038799999999999</v>
      </c>
      <c r="H69" s="32">
        <v>9.51</v>
      </c>
      <c r="I69" s="25">
        <v>5.9</v>
      </c>
      <c r="J69" s="25">
        <v>2.4</v>
      </c>
      <c r="K69" s="25">
        <v>1.44</v>
      </c>
      <c r="L69" s="25">
        <v>5.3999999999999999E-2</v>
      </c>
      <c r="M69" s="33">
        <v>2.9000000000000001E-2</v>
      </c>
      <c r="N69" s="24">
        <f t="shared" si="0"/>
        <v>4.3136599200000001</v>
      </c>
      <c r="O69" s="40"/>
      <c r="P69" s="24">
        <f t="shared" si="1"/>
        <v>1.0886207999999999</v>
      </c>
      <c r="Q69" s="24">
        <f t="shared" si="1"/>
        <v>0.65317247999999994</v>
      </c>
      <c r="R69" s="24">
        <f t="shared" si="1"/>
        <v>2.4493967999999998E-2</v>
      </c>
      <c r="S69" s="24">
        <f t="shared" si="1"/>
        <v>1.3154168000000001E-2</v>
      </c>
      <c r="T69" s="1">
        <v>15.3</v>
      </c>
      <c r="V69" s="1">
        <v>62.2</v>
      </c>
      <c r="W69" s="1">
        <v>0.65</v>
      </c>
      <c r="X69" s="1">
        <v>0.38</v>
      </c>
      <c r="Y69" s="1">
        <v>9.4</v>
      </c>
      <c r="Z69" s="1">
        <v>0.35</v>
      </c>
      <c r="AA69" s="6">
        <v>0.19</v>
      </c>
    </row>
    <row r="70" spans="1:27">
      <c r="A70" s="3"/>
      <c r="D70" s="1">
        <v>800</v>
      </c>
      <c r="E70" s="1">
        <f>D70*$I$2</f>
        <v>362.87360000000001</v>
      </c>
      <c r="F70" s="25">
        <v>1.5</v>
      </c>
      <c r="G70" s="25">
        <f t="shared" si="2"/>
        <v>0.68038799999999999</v>
      </c>
      <c r="H70" s="32">
        <v>10.5</v>
      </c>
      <c r="I70" s="25">
        <v>6.5</v>
      </c>
      <c r="J70" s="25">
        <v>2.6</v>
      </c>
      <c r="K70" s="25">
        <v>1.5</v>
      </c>
      <c r="L70" s="25">
        <v>5.3999999999999999E-2</v>
      </c>
      <c r="M70" s="33">
        <v>0.03</v>
      </c>
      <c r="N70" s="24">
        <f t="shared" si="0"/>
        <v>4.7627160000000002</v>
      </c>
      <c r="O70" s="40"/>
      <c r="P70" s="24">
        <f t="shared" si="1"/>
        <v>1.1793392</v>
      </c>
      <c r="Q70" s="24">
        <f t="shared" si="1"/>
        <v>0.68038799999999999</v>
      </c>
      <c r="R70" s="24">
        <f t="shared" si="1"/>
        <v>2.4493967999999998E-2</v>
      </c>
      <c r="S70" s="24">
        <f t="shared" ref="S70:S133" si="3">M70*$I$2</f>
        <v>1.360776E-2</v>
      </c>
      <c r="T70" s="1">
        <v>16.899999999999999</v>
      </c>
      <c r="V70" s="1">
        <v>62.2</v>
      </c>
      <c r="W70" s="1">
        <v>0.65</v>
      </c>
      <c r="X70" s="1">
        <v>0.38</v>
      </c>
      <c r="Y70" s="1">
        <v>8.9</v>
      </c>
      <c r="Z70" s="1">
        <v>0.32</v>
      </c>
      <c r="AA70" s="6">
        <v>0.18</v>
      </c>
    </row>
    <row r="71" spans="1:27">
      <c r="A71" s="3"/>
      <c r="D71" s="1">
        <v>400</v>
      </c>
      <c r="E71" s="1">
        <f>D71*$I$2</f>
        <v>181.43680000000001</v>
      </c>
      <c r="F71" s="25">
        <v>2</v>
      </c>
      <c r="G71" s="25">
        <f t="shared" si="2"/>
        <v>0.90718399999999999</v>
      </c>
      <c r="H71" s="32">
        <v>6.81</v>
      </c>
      <c r="I71" s="25">
        <v>3.9</v>
      </c>
      <c r="J71" s="25">
        <v>2.2000000000000002</v>
      </c>
      <c r="K71" s="25">
        <v>1.46</v>
      </c>
      <c r="L71" s="25">
        <v>6.5000000000000002E-2</v>
      </c>
      <c r="M71" s="33">
        <v>3.1E-2</v>
      </c>
      <c r="N71" s="24">
        <f t="shared" ref="N71:N134" si="4">H71*$I$2</f>
        <v>3.0889615199999998</v>
      </c>
      <c r="O71" s="40"/>
      <c r="P71" s="24">
        <f t="shared" ref="P71:S134" si="5">J71*$I$2</f>
        <v>0.99790240000000008</v>
      </c>
      <c r="Q71" s="24">
        <f t="shared" si="5"/>
        <v>0.66224432</v>
      </c>
      <c r="R71" s="24">
        <f t="shared" si="5"/>
        <v>2.9483479999999999E-2</v>
      </c>
      <c r="S71" s="24">
        <f t="shared" si="3"/>
        <v>1.4061351999999999E-2</v>
      </c>
      <c r="T71" s="1">
        <v>10.1</v>
      </c>
      <c r="V71" s="1">
        <v>67.5</v>
      </c>
      <c r="W71" s="1">
        <v>0.73</v>
      </c>
      <c r="X71" s="1">
        <v>0.45</v>
      </c>
      <c r="Y71" s="1">
        <v>14.5</v>
      </c>
      <c r="Z71" s="1">
        <v>0.65</v>
      </c>
      <c r="AA71" s="6">
        <v>0.3</v>
      </c>
    </row>
    <row r="72" spans="1:27">
      <c r="A72" s="3"/>
      <c r="D72" s="1">
        <v>500</v>
      </c>
      <c r="E72" s="1">
        <f>D72*$I$2</f>
        <v>226.79599999999999</v>
      </c>
      <c r="F72" s="25">
        <v>2</v>
      </c>
      <c r="G72" s="25">
        <f t="shared" si="2"/>
        <v>0.90718399999999999</v>
      </c>
      <c r="H72" s="32">
        <v>8.0399999999999991</v>
      </c>
      <c r="I72" s="25">
        <v>4.5999999999999996</v>
      </c>
      <c r="J72" s="25">
        <v>2.5</v>
      </c>
      <c r="K72" s="25">
        <v>1.51</v>
      </c>
      <c r="L72" s="25">
        <v>6.4000000000000001E-2</v>
      </c>
      <c r="M72" s="33">
        <v>3.1E-2</v>
      </c>
      <c r="N72" s="24">
        <f t="shared" si="4"/>
        <v>3.6468796799999996</v>
      </c>
      <c r="O72" s="40"/>
      <c r="P72" s="24">
        <f t="shared" si="5"/>
        <v>1.13398</v>
      </c>
      <c r="Q72" s="24">
        <f t="shared" si="5"/>
        <v>0.68492392000000002</v>
      </c>
      <c r="R72" s="24">
        <f t="shared" si="5"/>
        <v>2.9029888E-2</v>
      </c>
      <c r="S72" s="24">
        <f t="shared" si="3"/>
        <v>1.4061351999999999E-2</v>
      </c>
      <c r="T72" s="1">
        <v>11.9</v>
      </c>
      <c r="V72" s="1">
        <v>67.400000000000006</v>
      </c>
      <c r="W72" s="1">
        <v>0.73</v>
      </c>
      <c r="X72" s="1">
        <v>0.45</v>
      </c>
      <c r="Y72" s="1">
        <v>12.7</v>
      </c>
      <c r="Z72" s="1">
        <v>0.54</v>
      </c>
      <c r="AA72" s="6">
        <v>0.26</v>
      </c>
    </row>
    <row r="73" spans="1:27">
      <c r="A73" s="3"/>
      <c r="D73" s="1">
        <v>600</v>
      </c>
      <c r="E73" s="1">
        <f>D73*$I$2</f>
        <v>272.15519999999998</v>
      </c>
      <c r="F73" s="25">
        <v>2</v>
      </c>
      <c r="G73" s="25">
        <f t="shared" si="2"/>
        <v>0.90718399999999999</v>
      </c>
      <c r="H73" s="32">
        <v>9.23</v>
      </c>
      <c r="I73" s="25">
        <v>5.3</v>
      </c>
      <c r="J73" s="25">
        <v>2.9</v>
      </c>
      <c r="K73" s="25">
        <v>1.56</v>
      </c>
      <c r="L73" s="25">
        <v>6.4000000000000001E-2</v>
      </c>
      <c r="M73" s="33">
        <v>3.2000000000000001E-2</v>
      </c>
      <c r="N73" s="24">
        <f t="shared" si="4"/>
        <v>4.1866541599999998</v>
      </c>
      <c r="O73" s="40"/>
      <c r="P73" s="24">
        <f t="shared" si="5"/>
        <v>1.3154167999999999</v>
      </c>
      <c r="Q73" s="24">
        <f t="shared" si="5"/>
        <v>0.70760352000000004</v>
      </c>
      <c r="R73" s="24">
        <f t="shared" si="5"/>
        <v>2.9029888E-2</v>
      </c>
      <c r="S73" s="24">
        <f t="shared" si="3"/>
        <v>1.4514944E-2</v>
      </c>
      <c r="T73" s="1">
        <v>13.7</v>
      </c>
      <c r="V73" s="1">
        <v>67.5</v>
      </c>
      <c r="W73" s="1">
        <v>0.73</v>
      </c>
      <c r="X73" s="1">
        <v>0.46</v>
      </c>
      <c r="Y73" s="1">
        <v>11.4</v>
      </c>
      <c r="Z73" s="1">
        <v>0.47</v>
      </c>
      <c r="AA73" s="6">
        <v>0.24</v>
      </c>
    </row>
    <row r="74" spans="1:27">
      <c r="A74" s="3"/>
      <c r="D74" s="1">
        <v>700</v>
      </c>
      <c r="E74" s="1">
        <f>D74*$I$2</f>
        <v>317.51440000000002</v>
      </c>
      <c r="F74" s="25">
        <v>2</v>
      </c>
      <c r="G74" s="25">
        <f t="shared" si="2"/>
        <v>0.90718399999999999</v>
      </c>
      <c r="H74" s="32">
        <v>10.34</v>
      </c>
      <c r="I74" s="25">
        <v>5.9</v>
      </c>
      <c r="J74" s="25">
        <v>3.3</v>
      </c>
      <c r="K74" s="25">
        <v>1.6</v>
      </c>
      <c r="L74" s="25">
        <v>6.4000000000000001E-2</v>
      </c>
      <c r="M74" s="33">
        <v>3.3000000000000002E-2</v>
      </c>
      <c r="N74" s="24">
        <f t="shared" si="4"/>
        <v>4.6901412799999997</v>
      </c>
      <c r="O74" s="40"/>
      <c r="P74" s="24">
        <f t="shared" si="5"/>
        <v>1.4968535999999999</v>
      </c>
      <c r="Q74" s="24">
        <f t="shared" si="5"/>
        <v>0.72574720000000004</v>
      </c>
      <c r="R74" s="24">
        <f t="shared" si="5"/>
        <v>2.9029888E-2</v>
      </c>
      <c r="S74" s="24">
        <f t="shared" si="3"/>
        <v>1.4968536000000001E-2</v>
      </c>
      <c r="T74" s="1">
        <v>15.3</v>
      </c>
      <c r="V74" s="1">
        <v>67.400000000000006</v>
      </c>
      <c r="W74" s="1">
        <v>0.73</v>
      </c>
      <c r="X74" s="1">
        <v>0.45</v>
      </c>
      <c r="Y74" s="1">
        <v>10.5</v>
      </c>
      <c r="Z74" s="1">
        <v>0.42</v>
      </c>
      <c r="AA74" s="6">
        <v>0.22</v>
      </c>
    </row>
    <row r="75" spans="1:27">
      <c r="A75" s="3"/>
      <c r="D75" s="1">
        <v>800</v>
      </c>
      <c r="E75" s="1">
        <f>D75*$I$2</f>
        <v>362.87360000000001</v>
      </c>
      <c r="F75" s="25">
        <v>2</v>
      </c>
      <c r="G75" s="25">
        <f t="shared" si="2"/>
        <v>0.90718399999999999</v>
      </c>
      <c r="H75" s="32">
        <v>11.41</v>
      </c>
      <c r="I75" s="25">
        <v>6.5</v>
      </c>
      <c r="J75" s="25">
        <v>3.6</v>
      </c>
      <c r="K75" s="25">
        <v>1.65</v>
      </c>
      <c r="L75" s="25">
        <v>6.3E-2</v>
      </c>
      <c r="M75" s="33">
        <v>3.4000000000000002E-2</v>
      </c>
      <c r="N75" s="24">
        <f t="shared" si="4"/>
        <v>5.17548472</v>
      </c>
      <c r="O75" s="40"/>
      <c r="P75" s="24">
        <f t="shared" si="5"/>
        <v>1.6329312</v>
      </c>
      <c r="Q75" s="24">
        <f t="shared" si="5"/>
        <v>0.74842679999999995</v>
      </c>
      <c r="R75" s="24">
        <f t="shared" si="5"/>
        <v>2.8576296000000001E-2</v>
      </c>
      <c r="S75" s="24">
        <f t="shared" si="3"/>
        <v>1.5422128E-2</v>
      </c>
      <c r="T75" s="1">
        <v>17</v>
      </c>
      <c r="V75" s="1">
        <v>67.3</v>
      </c>
      <c r="W75" s="1">
        <v>0.73</v>
      </c>
      <c r="X75" s="1">
        <v>0.45</v>
      </c>
      <c r="Y75" s="1">
        <v>9.6999999999999993</v>
      </c>
      <c r="Z75" s="1">
        <v>0.37</v>
      </c>
      <c r="AA75" s="6">
        <v>0.2</v>
      </c>
    </row>
    <row r="76" spans="1:27">
      <c r="A76" s="3"/>
      <c r="D76" s="1">
        <v>400</v>
      </c>
      <c r="E76" s="1">
        <f>D76*$I$2</f>
        <v>181.43680000000001</v>
      </c>
      <c r="F76" s="25">
        <v>2.5</v>
      </c>
      <c r="G76" s="25">
        <f t="shared" si="2"/>
        <v>1.13398</v>
      </c>
      <c r="H76" s="32">
        <v>7.31</v>
      </c>
      <c r="I76" s="25">
        <v>3.9</v>
      </c>
      <c r="J76" s="25">
        <v>2.7</v>
      </c>
      <c r="K76" s="25">
        <v>1.66</v>
      </c>
      <c r="L76" s="25">
        <v>7.8E-2</v>
      </c>
      <c r="M76" s="33">
        <v>3.5999999999999997E-2</v>
      </c>
      <c r="N76" s="24">
        <f t="shared" si="4"/>
        <v>3.3157575199999996</v>
      </c>
      <c r="O76" s="40"/>
      <c r="P76" s="24">
        <f t="shared" si="5"/>
        <v>1.2246984000000001</v>
      </c>
      <c r="Q76" s="24">
        <f t="shared" si="5"/>
        <v>0.75296271999999997</v>
      </c>
      <c r="R76" s="24">
        <f t="shared" si="5"/>
        <v>3.5380175999999999E-2</v>
      </c>
      <c r="S76" s="24">
        <f t="shared" si="3"/>
        <v>1.6329311999999999E-2</v>
      </c>
      <c r="T76" s="1">
        <v>9.9</v>
      </c>
      <c r="V76" s="1">
        <v>73.5</v>
      </c>
      <c r="W76" s="1">
        <v>0.82</v>
      </c>
      <c r="X76" s="1">
        <v>0.53</v>
      </c>
      <c r="Y76" s="1">
        <v>16.7</v>
      </c>
      <c r="Z76" s="1">
        <v>0.78</v>
      </c>
      <c r="AA76" s="6">
        <v>0.36</v>
      </c>
    </row>
    <row r="77" spans="1:27">
      <c r="A77" s="3"/>
      <c r="D77" s="1">
        <v>500</v>
      </c>
      <c r="E77" s="1">
        <f>D77*$I$2</f>
        <v>226.79599999999999</v>
      </c>
      <c r="F77" s="25">
        <v>2.5</v>
      </c>
      <c r="G77" s="25">
        <f t="shared" si="2"/>
        <v>1.13398</v>
      </c>
      <c r="H77" s="32">
        <v>8.6300000000000008</v>
      </c>
      <c r="I77" s="25">
        <v>4.5999999999999996</v>
      </c>
      <c r="J77" s="25">
        <v>3.2</v>
      </c>
      <c r="K77" s="25">
        <v>1.7</v>
      </c>
      <c r="L77" s="25">
        <v>7.5999999999999998E-2</v>
      </c>
      <c r="M77" s="33">
        <v>3.5999999999999997E-2</v>
      </c>
      <c r="N77" s="24">
        <f t="shared" si="4"/>
        <v>3.9144989600000004</v>
      </c>
      <c r="O77" s="40"/>
      <c r="P77" s="24">
        <f t="shared" si="5"/>
        <v>1.4514944000000001</v>
      </c>
      <c r="Q77" s="24">
        <f t="shared" si="5"/>
        <v>0.77110639999999997</v>
      </c>
      <c r="R77" s="24">
        <f t="shared" si="5"/>
        <v>3.4472992000000001E-2</v>
      </c>
      <c r="S77" s="24">
        <f t="shared" si="3"/>
        <v>1.6329311999999999E-2</v>
      </c>
      <c r="T77" s="1">
        <v>11.8</v>
      </c>
      <c r="V77" s="1">
        <v>73.5</v>
      </c>
      <c r="W77" s="1">
        <v>0.82</v>
      </c>
      <c r="X77" s="1">
        <v>0.53</v>
      </c>
      <c r="Y77" s="1">
        <v>14.5</v>
      </c>
      <c r="Z77" s="1">
        <v>0.65</v>
      </c>
      <c r="AA77" s="6">
        <v>0.31</v>
      </c>
    </row>
    <row r="78" spans="1:27">
      <c r="A78" s="3"/>
      <c r="D78" s="1">
        <v>600</v>
      </c>
      <c r="E78" s="1">
        <f>D78*$I$2</f>
        <v>272.15519999999998</v>
      </c>
      <c r="F78" s="25">
        <v>2.5</v>
      </c>
      <c r="G78" s="25">
        <f t="shared" si="2"/>
        <v>1.13398</v>
      </c>
      <c r="H78" s="32">
        <v>9.92</v>
      </c>
      <c r="I78" s="25">
        <v>5.3</v>
      </c>
      <c r="J78" s="25">
        <v>3.7</v>
      </c>
      <c r="K78" s="25">
        <v>1.73</v>
      </c>
      <c r="L78" s="25">
        <v>7.4999999999999997E-2</v>
      </c>
      <c r="M78" s="33">
        <v>3.6999999999999998E-2</v>
      </c>
      <c r="N78" s="24">
        <f t="shared" si="4"/>
        <v>4.4996326399999997</v>
      </c>
      <c r="O78" s="40"/>
      <c r="P78" s="24">
        <f t="shared" si="5"/>
        <v>1.6782904000000001</v>
      </c>
      <c r="Q78" s="24">
        <f t="shared" si="5"/>
        <v>0.78471415999999994</v>
      </c>
      <c r="R78" s="24">
        <f t="shared" si="5"/>
        <v>3.4019399999999998E-2</v>
      </c>
      <c r="S78" s="24">
        <f t="shared" si="3"/>
        <v>1.6782903999999998E-2</v>
      </c>
      <c r="T78" s="1">
        <v>13.5</v>
      </c>
      <c r="V78" s="1">
        <v>73.599999999999994</v>
      </c>
      <c r="W78" s="1">
        <v>0.82</v>
      </c>
      <c r="X78" s="1">
        <v>0.53</v>
      </c>
      <c r="Y78" s="1">
        <v>12.9</v>
      </c>
      <c r="Z78" s="1">
        <v>0.56000000000000005</v>
      </c>
      <c r="AA78" s="6">
        <v>0.27</v>
      </c>
    </row>
    <row r="79" spans="1:27">
      <c r="A79" s="3"/>
      <c r="D79" s="1">
        <v>700</v>
      </c>
      <c r="E79" s="1">
        <f>D79*$I$2</f>
        <v>317.51440000000002</v>
      </c>
      <c r="F79" s="25">
        <v>2.5</v>
      </c>
      <c r="G79" s="25">
        <f t="shared" si="2"/>
        <v>1.13398</v>
      </c>
      <c r="H79" s="32">
        <v>11.11</v>
      </c>
      <c r="I79" s="25">
        <v>5.9</v>
      </c>
      <c r="J79" s="25">
        <v>4.2</v>
      </c>
      <c r="K79" s="25">
        <v>1.76</v>
      </c>
      <c r="L79" s="25">
        <v>7.3999999999999996E-2</v>
      </c>
      <c r="M79" s="33">
        <v>3.6999999999999998E-2</v>
      </c>
      <c r="N79" s="24">
        <f t="shared" si="4"/>
        <v>5.0394071199999999</v>
      </c>
      <c r="O79" s="40"/>
      <c r="P79" s="24">
        <f t="shared" si="5"/>
        <v>1.9050864000000001</v>
      </c>
      <c r="Q79" s="24">
        <f t="shared" si="5"/>
        <v>0.79832192000000002</v>
      </c>
      <c r="R79" s="24">
        <f t="shared" si="5"/>
        <v>3.3565807999999996E-2</v>
      </c>
      <c r="S79" s="24">
        <f t="shared" si="3"/>
        <v>1.6782903999999998E-2</v>
      </c>
      <c r="T79" s="1">
        <v>15.1</v>
      </c>
      <c r="V79" s="1">
        <v>73.400000000000006</v>
      </c>
      <c r="W79" s="1">
        <v>0.81</v>
      </c>
      <c r="X79" s="1">
        <v>0.53</v>
      </c>
      <c r="Y79" s="1">
        <v>11.7</v>
      </c>
      <c r="Z79" s="1">
        <v>0.49</v>
      </c>
      <c r="AA79" s="6">
        <v>0.25</v>
      </c>
    </row>
    <row r="80" spans="1:27">
      <c r="A80" s="3"/>
      <c r="D80" s="1">
        <v>800</v>
      </c>
      <c r="E80" s="1">
        <f>D80*$I$2</f>
        <v>362.87360000000001</v>
      </c>
      <c r="F80" s="25">
        <v>2.5</v>
      </c>
      <c r="G80" s="25">
        <f t="shared" si="2"/>
        <v>1.13398</v>
      </c>
      <c r="H80" s="32">
        <v>12.27</v>
      </c>
      <c r="I80" s="25">
        <v>6.5</v>
      </c>
      <c r="J80" s="25">
        <v>4.5999999999999996</v>
      </c>
      <c r="K80" s="25">
        <v>1.8</v>
      </c>
      <c r="L80" s="25">
        <v>7.2999999999999995E-2</v>
      </c>
      <c r="M80" s="33">
        <v>3.7999999999999999E-2</v>
      </c>
      <c r="N80" s="24">
        <f t="shared" si="4"/>
        <v>5.5655738399999999</v>
      </c>
      <c r="O80" s="40"/>
      <c r="P80" s="24">
        <f t="shared" si="5"/>
        <v>2.0865231999999998</v>
      </c>
      <c r="Q80" s="24">
        <f t="shared" si="5"/>
        <v>0.81646560000000001</v>
      </c>
      <c r="R80" s="24">
        <f t="shared" si="5"/>
        <v>3.3112216E-2</v>
      </c>
      <c r="S80" s="24">
        <f t="shared" si="3"/>
        <v>1.7236496E-2</v>
      </c>
      <c r="T80" s="1">
        <v>16.7</v>
      </c>
      <c r="V80" s="1">
        <v>73.3</v>
      </c>
      <c r="W80" s="1">
        <v>0.81</v>
      </c>
      <c r="X80" s="1">
        <v>0.53</v>
      </c>
      <c r="Y80" s="1">
        <v>10.7</v>
      </c>
      <c r="Z80" s="1">
        <v>0.43</v>
      </c>
      <c r="AA80" s="6">
        <v>0.23</v>
      </c>
    </row>
    <row r="81" spans="1:27">
      <c r="A81" s="3"/>
      <c r="D81" s="1">
        <v>400</v>
      </c>
      <c r="E81" s="1">
        <f>D81*$I$2</f>
        <v>181.43680000000001</v>
      </c>
      <c r="F81" s="25">
        <v>3</v>
      </c>
      <c r="G81" s="25">
        <f t="shared" si="2"/>
        <v>1.360776</v>
      </c>
      <c r="H81" s="32">
        <v>7.77</v>
      </c>
      <c r="I81" s="25">
        <v>3.9</v>
      </c>
      <c r="J81" s="25">
        <v>3.4</v>
      </c>
      <c r="K81" s="25">
        <v>1.87</v>
      </c>
      <c r="L81" s="25">
        <v>9.0999999999999998E-2</v>
      </c>
      <c r="M81" s="33">
        <v>4.1000000000000002E-2</v>
      </c>
      <c r="N81" s="24">
        <f t="shared" si="4"/>
        <v>3.5244098399999997</v>
      </c>
      <c r="O81" s="40"/>
      <c r="P81" s="24">
        <f t="shared" si="5"/>
        <v>1.5422127999999999</v>
      </c>
      <c r="Q81" s="24">
        <f t="shared" si="5"/>
        <v>0.84821704000000009</v>
      </c>
      <c r="R81" s="24">
        <f t="shared" si="5"/>
        <v>4.1276871999999999E-2</v>
      </c>
      <c r="S81" s="24">
        <f t="shared" si="3"/>
        <v>1.8597272000000001E-2</v>
      </c>
      <c r="T81" s="1">
        <v>9.5</v>
      </c>
      <c r="V81" s="1">
        <v>81.5</v>
      </c>
      <c r="W81" s="1">
        <v>0.93</v>
      </c>
      <c r="X81" s="1">
        <v>0.63</v>
      </c>
      <c r="Y81" s="1">
        <v>19.600000000000001</v>
      </c>
      <c r="Z81" s="1">
        <v>0.95</v>
      </c>
      <c r="AA81" s="6">
        <v>0.43</v>
      </c>
    </row>
    <row r="82" spans="1:27">
      <c r="A82" s="3"/>
      <c r="D82" s="1">
        <v>500</v>
      </c>
      <c r="E82" s="1">
        <f>D82*$I$2</f>
        <v>226.79599999999999</v>
      </c>
      <c r="F82" s="25">
        <v>3</v>
      </c>
      <c r="G82" s="25">
        <f t="shared" si="2"/>
        <v>1.360776</v>
      </c>
      <c r="H82" s="32">
        <v>9.18</v>
      </c>
      <c r="I82" s="25">
        <v>4.5999999999999996</v>
      </c>
      <c r="J82" s="25">
        <v>4</v>
      </c>
      <c r="K82" s="25">
        <v>1.89</v>
      </c>
      <c r="L82" s="25">
        <v>8.7999999999999995E-2</v>
      </c>
      <c r="M82" s="33">
        <v>4.1000000000000002E-2</v>
      </c>
      <c r="N82" s="24">
        <f t="shared" si="4"/>
        <v>4.1639745599999998</v>
      </c>
      <c r="O82" s="40"/>
      <c r="P82" s="24">
        <f t="shared" si="5"/>
        <v>1.814368</v>
      </c>
      <c r="Q82" s="24">
        <f t="shared" si="5"/>
        <v>0.85728887999999992</v>
      </c>
      <c r="R82" s="24">
        <f t="shared" si="5"/>
        <v>3.9916095999999998E-2</v>
      </c>
      <c r="S82" s="24">
        <f t="shared" si="3"/>
        <v>1.8597272000000001E-2</v>
      </c>
      <c r="T82" s="1">
        <v>11.3</v>
      </c>
      <c r="V82" s="1">
        <v>81.400000000000006</v>
      </c>
      <c r="W82" s="1">
        <v>0.93</v>
      </c>
      <c r="X82" s="1">
        <v>0.63</v>
      </c>
      <c r="Y82" s="1">
        <v>16.7</v>
      </c>
      <c r="Z82" s="1">
        <v>0.78</v>
      </c>
      <c r="AA82" s="6">
        <v>0.36</v>
      </c>
    </row>
    <row r="83" spans="1:27">
      <c r="A83" s="3"/>
      <c r="D83" s="1">
        <v>600</v>
      </c>
      <c r="E83" s="1">
        <f>D83*$I$2</f>
        <v>272.15519999999998</v>
      </c>
      <c r="F83" s="25">
        <v>3</v>
      </c>
      <c r="G83" s="25">
        <f t="shared" si="2"/>
        <v>1.360776</v>
      </c>
      <c r="H83" s="32">
        <v>10.54</v>
      </c>
      <c r="I83" s="25">
        <v>5.3</v>
      </c>
      <c r="J83" s="25">
        <v>4.5</v>
      </c>
      <c r="K83" s="25">
        <v>1.9</v>
      </c>
      <c r="L83" s="25">
        <v>8.5999999999999993E-2</v>
      </c>
      <c r="M83" s="33">
        <v>4.1000000000000002E-2</v>
      </c>
      <c r="N83" s="24">
        <f t="shared" si="4"/>
        <v>4.7808596799999998</v>
      </c>
      <c r="O83" s="40"/>
      <c r="P83" s="24">
        <f t="shared" si="5"/>
        <v>2.0411640000000002</v>
      </c>
      <c r="Q83" s="24">
        <f t="shared" si="5"/>
        <v>0.86182479999999995</v>
      </c>
      <c r="R83" s="24">
        <f t="shared" si="5"/>
        <v>3.9008912E-2</v>
      </c>
      <c r="S83" s="24">
        <f t="shared" si="3"/>
        <v>1.8597272000000001E-2</v>
      </c>
      <c r="T83" s="1">
        <v>12.9</v>
      </c>
      <c r="V83" s="1">
        <v>81.599999999999994</v>
      </c>
      <c r="W83" s="1">
        <v>0.93</v>
      </c>
      <c r="X83" s="1">
        <v>0.63</v>
      </c>
      <c r="Y83" s="1">
        <v>14.7</v>
      </c>
      <c r="Z83" s="1">
        <v>0.66</v>
      </c>
      <c r="AA83" s="6">
        <v>0.32</v>
      </c>
    </row>
    <row r="84" spans="1:27">
      <c r="A84" s="3"/>
      <c r="D84" s="1">
        <v>700</v>
      </c>
      <c r="E84" s="1">
        <f>D84*$I$2</f>
        <v>317.51440000000002</v>
      </c>
      <c r="F84" s="25">
        <v>3</v>
      </c>
      <c r="G84" s="25">
        <f t="shared" si="2"/>
        <v>1.360776</v>
      </c>
      <c r="H84" s="32">
        <v>11.81</v>
      </c>
      <c r="I84" s="25">
        <v>5.9</v>
      </c>
      <c r="J84" s="25">
        <v>5.0999999999999996</v>
      </c>
      <c r="K84" s="25">
        <v>1.92</v>
      </c>
      <c r="L84" s="25">
        <v>8.3000000000000004E-2</v>
      </c>
      <c r="M84" s="33">
        <v>4.1000000000000002E-2</v>
      </c>
      <c r="N84" s="24">
        <f t="shared" si="4"/>
        <v>5.3569215200000002</v>
      </c>
      <c r="O84" s="40"/>
      <c r="P84" s="24">
        <f t="shared" si="5"/>
        <v>2.3133192</v>
      </c>
      <c r="Q84" s="24">
        <f t="shared" si="5"/>
        <v>0.87089664</v>
      </c>
      <c r="R84" s="24">
        <f t="shared" si="5"/>
        <v>3.7648135999999999E-2</v>
      </c>
      <c r="S84" s="24">
        <f t="shared" si="3"/>
        <v>1.8597272000000001E-2</v>
      </c>
      <c r="T84" s="1">
        <v>14.5</v>
      </c>
      <c r="V84" s="1">
        <v>81.2</v>
      </c>
      <c r="W84" s="1">
        <v>0.93</v>
      </c>
      <c r="X84" s="1">
        <v>0.63</v>
      </c>
      <c r="Y84" s="1">
        <v>13.2</v>
      </c>
      <c r="Z84" s="1">
        <v>0.56999999999999995</v>
      </c>
      <c r="AA84" s="6">
        <v>0.28000000000000003</v>
      </c>
    </row>
    <row r="85" spans="1:27">
      <c r="A85" s="13"/>
      <c r="B85" s="8"/>
      <c r="C85" s="8"/>
      <c r="D85" s="8">
        <v>800</v>
      </c>
      <c r="E85" s="1">
        <f>D85*$I$2</f>
        <v>362.87360000000001</v>
      </c>
      <c r="F85" s="25">
        <v>3</v>
      </c>
      <c r="G85" s="25">
        <f t="shared" si="2"/>
        <v>1.360776</v>
      </c>
      <c r="H85" s="34">
        <v>13.04</v>
      </c>
      <c r="I85" s="35">
        <v>6.5</v>
      </c>
      <c r="J85" s="35">
        <v>5.6</v>
      </c>
      <c r="K85" s="35">
        <v>1.94</v>
      </c>
      <c r="L85" s="35">
        <v>8.1000000000000003E-2</v>
      </c>
      <c r="M85" s="36">
        <v>4.1000000000000002E-2</v>
      </c>
      <c r="N85" s="24">
        <f t="shared" si="4"/>
        <v>5.9148396799999992</v>
      </c>
      <c r="O85" s="40"/>
      <c r="P85" s="24">
        <f t="shared" si="5"/>
        <v>2.5401151999999998</v>
      </c>
      <c r="Q85" s="24">
        <f t="shared" si="5"/>
        <v>0.87996847999999994</v>
      </c>
      <c r="R85" s="24">
        <f t="shared" si="5"/>
        <v>3.6740952E-2</v>
      </c>
      <c r="S85" s="24">
        <f t="shared" si="3"/>
        <v>1.8597272000000001E-2</v>
      </c>
      <c r="T85" s="8">
        <v>16.100000000000001</v>
      </c>
      <c r="U85" s="8"/>
      <c r="V85" s="8">
        <v>81.099999999999994</v>
      </c>
      <c r="W85" s="8">
        <v>0.92</v>
      </c>
      <c r="X85" s="8">
        <v>0.62</v>
      </c>
      <c r="Y85" s="8">
        <v>12.1</v>
      </c>
      <c r="Z85" s="8">
        <v>0.51</v>
      </c>
      <c r="AA85" s="9">
        <v>0.26</v>
      </c>
    </row>
    <row r="86" spans="1:27">
      <c r="E86" s="1">
        <f>D86*$I$2</f>
        <v>0</v>
      </c>
      <c r="G86" s="25">
        <f t="shared" si="2"/>
        <v>0</v>
      </c>
      <c r="N86" s="24">
        <f t="shared" si="4"/>
        <v>0</v>
      </c>
      <c r="O86" s="40"/>
      <c r="P86" s="24">
        <f t="shared" si="5"/>
        <v>0</v>
      </c>
      <c r="Q86" s="24">
        <f t="shared" si="5"/>
        <v>0</v>
      </c>
      <c r="R86" s="24">
        <f t="shared" si="5"/>
        <v>0</v>
      </c>
      <c r="S86" s="24">
        <f t="shared" si="3"/>
        <v>0</v>
      </c>
    </row>
    <row r="87" spans="1:27">
      <c r="A87" s="11"/>
      <c r="B87" s="10"/>
      <c r="C87" s="10"/>
      <c r="D87" s="10"/>
      <c r="E87" s="1">
        <f>D87*$I$2</f>
        <v>0</v>
      </c>
      <c r="F87" s="37"/>
      <c r="G87" s="25">
        <f t="shared" si="2"/>
        <v>0</v>
      </c>
      <c r="H87" s="26" t="s">
        <v>10</v>
      </c>
      <c r="I87" s="27"/>
      <c r="J87" s="27"/>
      <c r="K87" s="27"/>
      <c r="L87" s="27"/>
      <c r="M87" s="28"/>
      <c r="N87" s="24" t="e">
        <f t="shared" si="4"/>
        <v>#VALUE!</v>
      </c>
      <c r="O87" s="40"/>
      <c r="P87" s="24">
        <f t="shared" si="5"/>
        <v>0</v>
      </c>
      <c r="Q87" s="24">
        <f t="shared" si="5"/>
        <v>0</v>
      </c>
      <c r="R87" s="24">
        <f t="shared" si="5"/>
        <v>0</v>
      </c>
      <c r="S87" s="24">
        <f t="shared" si="3"/>
        <v>0</v>
      </c>
      <c r="T87" s="21" t="s">
        <v>21</v>
      </c>
      <c r="U87" s="21"/>
      <c r="V87" s="21"/>
      <c r="W87" s="21"/>
      <c r="X87" s="21"/>
      <c r="Y87" s="21"/>
      <c r="Z87" s="21"/>
      <c r="AA87" s="22"/>
    </row>
    <row r="88" spans="1:27" ht="26">
      <c r="A88" s="12" t="s">
        <v>41</v>
      </c>
      <c r="B88" s="2" t="s">
        <v>27</v>
      </c>
      <c r="C88" s="2"/>
      <c r="D88" s="2" t="s">
        <v>31</v>
      </c>
      <c r="E88" s="1" t="e">
        <f>D88*$I$2</f>
        <v>#VALUE!</v>
      </c>
      <c r="F88" s="30" t="s">
        <v>30</v>
      </c>
      <c r="G88" s="25" t="e">
        <f t="shared" si="2"/>
        <v>#VALUE!</v>
      </c>
      <c r="H88" s="29" t="s">
        <v>11</v>
      </c>
      <c r="I88" s="30" t="s">
        <v>23</v>
      </c>
      <c r="J88" s="30" t="s">
        <v>24</v>
      </c>
      <c r="K88" s="30" t="s">
        <v>12</v>
      </c>
      <c r="L88" s="30" t="s">
        <v>13</v>
      </c>
      <c r="M88" s="31" t="s">
        <v>14</v>
      </c>
      <c r="N88" s="24" t="e">
        <f t="shared" si="4"/>
        <v>#VALUE!</v>
      </c>
      <c r="O88" s="40"/>
      <c r="P88" s="24" t="e">
        <f t="shared" si="5"/>
        <v>#VALUE!</v>
      </c>
      <c r="Q88" s="24" t="e">
        <f t="shared" si="5"/>
        <v>#VALUE!</v>
      </c>
      <c r="R88" s="24" t="e">
        <f t="shared" si="5"/>
        <v>#VALUE!</v>
      </c>
      <c r="S88" s="24" t="e">
        <f t="shared" si="3"/>
        <v>#VALUE!</v>
      </c>
      <c r="T88" s="3" t="s">
        <v>15</v>
      </c>
      <c r="U88" s="23"/>
      <c r="V88" s="2" t="s">
        <v>16</v>
      </c>
      <c r="W88" s="2" t="s">
        <v>17</v>
      </c>
      <c r="X88" s="2" t="s">
        <v>24</v>
      </c>
      <c r="Y88" s="2" t="s">
        <v>18</v>
      </c>
      <c r="Z88" s="2" t="s">
        <v>19</v>
      </c>
      <c r="AA88" s="4" t="s">
        <v>20</v>
      </c>
    </row>
    <row r="89" spans="1:27">
      <c r="A89" s="3"/>
      <c r="B89" s="1">
        <v>1200</v>
      </c>
      <c r="C89" s="1">
        <f>B89*I2</f>
        <v>544.31039999999996</v>
      </c>
      <c r="D89" s="1">
        <v>600</v>
      </c>
      <c r="E89" s="1">
        <f>D89*$I$2</f>
        <v>272.15519999999998</v>
      </c>
      <c r="F89" s="25">
        <v>1</v>
      </c>
      <c r="G89" s="25">
        <f t="shared" si="2"/>
        <v>0.453592</v>
      </c>
      <c r="H89" s="32">
        <v>8.39</v>
      </c>
      <c r="I89" s="25">
        <v>5.3</v>
      </c>
      <c r="J89" s="25">
        <v>1.4</v>
      </c>
      <c r="K89" s="25">
        <v>1.26</v>
      </c>
      <c r="L89" s="25">
        <v>4.2000000000000003E-2</v>
      </c>
      <c r="M89" s="33">
        <v>2.3E-2</v>
      </c>
      <c r="N89" s="24">
        <f t="shared" si="4"/>
        <v>3.8056368800000002</v>
      </c>
      <c r="O89" s="40"/>
      <c r="P89" s="24">
        <f t="shared" si="5"/>
        <v>0.63502879999999995</v>
      </c>
      <c r="Q89" s="24">
        <f t="shared" si="5"/>
        <v>0.57152592000000002</v>
      </c>
      <c r="R89" s="24">
        <f t="shared" si="5"/>
        <v>1.9050864000000001E-2</v>
      </c>
      <c r="S89" s="24">
        <f t="shared" si="3"/>
        <v>1.0432616E-2</v>
      </c>
      <c r="T89" s="1">
        <v>15.8</v>
      </c>
      <c r="V89" s="1">
        <v>53.1</v>
      </c>
      <c r="W89" s="1">
        <v>0.51</v>
      </c>
      <c r="X89" s="1">
        <v>0.25</v>
      </c>
      <c r="Y89" s="1">
        <v>8</v>
      </c>
      <c r="Z89" s="1">
        <v>0.26</v>
      </c>
      <c r="AA89" s="6">
        <v>0.15</v>
      </c>
    </row>
    <row r="90" spans="1:27">
      <c r="A90" s="3"/>
      <c r="D90" s="1">
        <v>700</v>
      </c>
      <c r="E90" s="1">
        <f>D90*$I$2</f>
        <v>317.51440000000002</v>
      </c>
      <c r="F90" s="25">
        <v>1</v>
      </c>
      <c r="G90" s="25">
        <f t="shared" si="2"/>
        <v>0.453592</v>
      </c>
      <c r="H90" s="32">
        <v>9.39</v>
      </c>
      <c r="I90" s="25">
        <v>5.9</v>
      </c>
      <c r="J90" s="25">
        <v>1.5</v>
      </c>
      <c r="K90" s="25">
        <v>1.33</v>
      </c>
      <c r="L90" s="25">
        <v>4.2999999999999997E-2</v>
      </c>
      <c r="M90" s="33">
        <v>2.5000000000000001E-2</v>
      </c>
      <c r="N90" s="24">
        <f t="shared" si="4"/>
        <v>4.2592288800000002</v>
      </c>
      <c r="O90" s="40"/>
      <c r="P90" s="24">
        <f t="shared" si="5"/>
        <v>0.68038799999999999</v>
      </c>
      <c r="Q90" s="24">
        <f t="shared" si="5"/>
        <v>0.60327735999999998</v>
      </c>
      <c r="R90" s="24">
        <f t="shared" si="5"/>
        <v>1.9504456E-2</v>
      </c>
      <c r="S90" s="24">
        <f t="shared" si="3"/>
        <v>1.1339800000000001E-2</v>
      </c>
      <c r="T90" s="1">
        <v>17.7</v>
      </c>
      <c r="V90" s="1">
        <v>53</v>
      </c>
      <c r="W90" s="1">
        <v>0.51</v>
      </c>
      <c r="X90" s="1">
        <v>0.25</v>
      </c>
      <c r="Y90" s="1">
        <v>7.5</v>
      </c>
      <c r="Z90" s="1">
        <v>0.24</v>
      </c>
      <c r="AA90" s="6">
        <v>0.14000000000000001</v>
      </c>
    </row>
    <row r="91" spans="1:27">
      <c r="A91" s="3"/>
      <c r="D91" s="1">
        <v>800</v>
      </c>
      <c r="E91" s="1">
        <f>D91*$I$2</f>
        <v>362.87360000000001</v>
      </c>
      <c r="F91" s="25">
        <v>1</v>
      </c>
      <c r="G91" s="25">
        <f t="shared" si="2"/>
        <v>0.453592</v>
      </c>
      <c r="H91" s="32">
        <v>10.36</v>
      </c>
      <c r="I91" s="25">
        <v>6.5</v>
      </c>
      <c r="J91" s="25">
        <v>1.7</v>
      </c>
      <c r="K91" s="25">
        <v>1.4</v>
      </c>
      <c r="L91" s="25">
        <v>4.4999999999999998E-2</v>
      </c>
      <c r="M91" s="33">
        <v>2.7E-2</v>
      </c>
      <c r="N91" s="24">
        <f t="shared" si="4"/>
        <v>4.6992131199999996</v>
      </c>
      <c r="O91" s="40"/>
      <c r="P91" s="24">
        <f t="shared" si="5"/>
        <v>0.77110639999999997</v>
      </c>
      <c r="Q91" s="24">
        <f t="shared" si="5"/>
        <v>0.63502879999999995</v>
      </c>
      <c r="R91" s="24">
        <f t="shared" si="5"/>
        <v>2.0411639999999998E-2</v>
      </c>
      <c r="S91" s="24">
        <f t="shared" si="3"/>
        <v>1.2246983999999999E-2</v>
      </c>
      <c r="T91" s="1">
        <v>19.600000000000001</v>
      </c>
      <c r="V91" s="1">
        <v>53</v>
      </c>
      <c r="W91" s="1">
        <v>0.51</v>
      </c>
      <c r="X91" s="1">
        <v>0.25</v>
      </c>
      <c r="Y91" s="1">
        <v>7.2</v>
      </c>
      <c r="Z91" s="1">
        <v>0.23</v>
      </c>
      <c r="AA91" s="6">
        <v>0.14000000000000001</v>
      </c>
    </row>
    <row r="92" spans="1:27">
      <c r="A92" s="3"/>
      <c r="D92" s="1">
        <v>900</v>
      </c>
      <c r="E92" s="1">
        <f>D92*$I$2</f>
        <v>408.2328</v>
      </c>
      <c r="F92" s="25">
        <v>1</v>
      </c>
      <c r="G92" s="25">
        <f t="shared" si="2"/>
        <v>0.453592</v>
      </c>
      <c r="H92" s="32">
        <v>11.31</v>
      </c>
      <c r="I92" s="25">
        <v>7.1</v>
      </c>
      <c r="J92" s="25">
        <v>1.8</v>
      </c>
      <c r="K92" s="25">
        <v>1.47</v>
      </c>
      <c r="L92" s="25">
        <v>4.5999999999999999E-2</v>
      </c>
      <c r="M92" s="33">
        <v>2.8000000000000001E-2</v>
      </c>
      <c r="N92" s="24">
        <f t="shared" si="4"/>
        <v>5.13012552</v>
      </c>
      <c r="O92" s="40"/>
      <c r="P92" s="24">
        <f t="shared" si="5"/>
        <v>0.81646560000000001</v>
      </c>
      <c r="Q92" s="24">
        <f t="shared" si="5"/>
        <v>0.66678024000000002</v>
      </c>
      <c r="R92" s="24">
        <f t="shared" si="5"/>
        <v>2.0865232000000001E-2</v>
      </c>
      <c r="S92" s="24">
        <f t="shared" si="3"/>
        <v>1.2700576E-2</v>
      </c>
      <c r="T92" s="1">
        <v>21.4</v>
      </c>
      <c r="V92" s="1">
        <v>52.9</v>
      </c>
      <c r="W92" s="1">
        <v>0.51</v>
      </c>
      <c r="X92" s="1">
        <v>0.25</v>
      </c>
      <c r="Y92" s="1">
        <v>6.9</v>
      </c>
      <c r="Z92" s="1">
        <v>0.22</v>
      </c>
      <c r="AA92" s="6">
        <v>0.13</v>
      </c>
    </row>
    <row r="93" spans="1:27">
      <c r="A93" s="3"/>
      <c r="D93" s="15">
        <v>1000</v>
      </c>
      <c r="E93" s="1">
        <f>D93*$I$2</f>
        <v>453.59199999999998</v>
      </c>
      <c r="F93" s="25">
        <v>1</v>
      </c>
      <c r="G93" s="25">
        <f t="shared" si="2"/>
        <v>0.453592</v>
      </c>
      <c r="H93" s="32">
        <v>12.25</v>
      </c>
      <c r="I93" s="25">
        <v>7.7</v>
      </c>
      <c r="J93" s="25">
        <v>2</v>
      </c>
      <c r="K93" s="25">
        <v>1.53</v>
      </c>
      <c r="L93" s="25">
        <v>4.8000000000000001E-2</v>
      </c>
      <c r="M93" s="33">
        <v>0.03</v>
      </c>
      <c r="N93" s="24">
        <f t="shared" si="4"/>
        <v>5.5565020000000001</v>
      </c>
      <c r="O93" s="40"/>
      <c r="P93" s="24">
        <f t="shared" si="5"/>
        <v>0.90718399999999999</v>
      </c>
      <c r="Q93" s="24">
        <f t="shared" si="5"/>
        <v>0.69399575999999996</v>
      </c>
      <c r="R93" s="24">
        <f t="shared" si="5"/>
        <v>2.1772415999999999E-2</v>
      </c>
      <c r="S93" s="24">
        <f t="shared" si="3"/>
        <v>1.360776E-2</v>
      </c>
      <c r="T93" s="1">
        <v>23.1</v>
      </c>
      <c r="V93" s="1">
        <v>52.9</v>
      </c>
      <c r="W93" s="1">
        <v>0.51</v>
      </c>
      <c r="X93" s="1">
        <v>0.25</v>
      </c>
      <c r="Y93" s="1">
        <v>6.6</v>
      </c>
      <c r="Z93" s="1">
        <v>0.21</v>
      </c>
      <c r="AA93" s="6">
        <v>0.13</v>
      </c>
    </row>
    <row r="94" spans="1:27">
      <c r="A94" s="3"/>
      <c r="D94" s="15">
        <v>1100</v>
      </c>
      <c r="E94" s="1">
        <f>D94*$I$2</f>
        <v>498.95119999999997</v>
      </c>
      <c r="F94" s="25">
        <v>1</v>
      </c>
      <c r="G94" s="25">
        <f t="shared" si="2"/>
        <v>0.453592</v>
      </c>
      <c r="H94" s="32">
        <v>13.18</v>
      </c>
      <c r="I94" s="25">
        <v>8.3000000000000007</v>
      </c>
      <c r="J94" s="25">
        <v>2.1</v>
      </c>
      <c r="K94" s="25">
        <v>1.59</v>
      </c>
      <c r="L94" s="25">
        <v>4.9000000000000002E-2</v>
      </c>
      <c r="M94" s="33">
        <v>3.2000000000000001E-2</v>
      </c>
      <c r="N94" s="24">
        <f t="shared" si="4"/>
        <v>5.9783425599999998</v>
      </c>
      <c r="O94" s="40"/>
      <c r="P94" s="24">
        <f t="shared" si="5"/>
        <v>0.95254320000000003</v>
      </c>
      <c r="Q94" s="24">
        <f t="shared" si="5"/>
        <v>0.72121128000000001</v>
      </c>
      <c r="R94" s="24">
        <f t="shared" si="5"/>
        <v>2.2226008000000002E-2</v>
      </c>
      <c r="S94" s="24">
        <f t="shared" si="3"/>
        <v>1.4514944E-2</v>
      </c>
      <c r="T94" s="1">
        <v>24.9</v>
      </c>
      <c r="V94" s="1">
        <v>53</v>
      </c>
      <c r="W94" s="1">
        <v>0.51</v>
      </c>
      <c r="X94" s="1">
        <v>0.25</v>
      </c>
      <c r="Y94" s="1">
        <v>6.4</v>
      </c>
      <c r="Z94" s="1">
        <v>0.2</v>
      </c>
      <c r="AA94" s="6">
        <v>0.13</v>
      </c>
    </row>
    <row r="95" spans="1:27">
      <c r="A95" s="3"/>
      <c r="D95" s="1">
        <v>600</v>
      </c>
      <c r="E95" s="1">
        <f>D95*$I$2</f>
        <v>272.15519999999998</v>
      </c>
      <c r="F95" s="25">
        <v>1.5</v>
      </c>
      <c r="G95" s="25">
        <f t="shared" si="2"/>
        <v>0.68038799999999999</v>
      </c>
      <c r="H95" s="32">
        <v>9.18</v>
      </c>
      <c r="I95" s="25">
        <v>5.3</v>
      </c>
      <c r="J95" s="25">
        <v>2.1</v>
      </c>
      <c r="K95" s="25">
        <v>1.47</v>
      </c>
      <c r="L95" s="25">
        <v>5.2999999999999999E-2</v>
      </c>
      <c r="M95" s="33">
        <v>2.8000000000000001E-2</v>
      </c>
      <c r="N95" s="24">
        <f t="shared" si="4"/>
        <v>4.1639745599999998</v>
      </c>
      <c r="O95" s="40"/>
      <c r="P95" s="24">
        <f t="shared" si="5"/>
        <v>0.95254320000000003</v>
      </c>
      <c r="Q95" s="24">
        <f t="shared" si="5"/>
        <v>0.66678024000000002</v>
      </c>
      <c r="R95" s="24">
        <f t="shared" si="5"/>
        <v>2.4040375999999999E-2</v>
      </c>
      <c r="S95" s="24">
        <f t="shared" si="3"/>
        <v>1.2700576E-2</v>
      </c>
      <c r="T95" s="1">
        <v>16.100000000000001</v>
      </c>
      <c r="V95" s="1">
        <v>57.1</v>
      </c>
      <c r="W95" s="1">
        <v>0.56999999999999995</v>
      </c>
      <c r="X95" s="1">
        <v>0.31</v>
      </c>
      <c r="Y95" s="1">
        <v>9.1999999999999993</v>
      </c>
      <c r="Z95" s="1">
        <v>0.33</v>
      </c>
      <c r="AA95" s="6">
        <v>0.17</v>
      </c>
    </row>
    <row r="96" spans="1:27">
      <c r="A96" s="3"/>
      <c r="D96" s="1">
        <v>700</v>
      </c>
      <c r="E96" s="1">
        <f>D96*$I$2</f>
        <v>317.51440000000002</v>
      </c>
      <c r="F96" s="25">
        <v>1.5</v>
      </c>
      <c r="G96" s="25">
        <f t="shared" si="2"/>
        <v>0.68038799999999999</v>
      </c>
      <c r="H96" s="32">
        <v>10.28</v>
      </c>
      <c r="I96" s="25">
        <v>5.9</v>
      </c>
      <c r="J96" s="25">
        <v>2.4</v>
      </c>
      <c r="K96" s="25">
        <v>1.53</v>
      </c>
      <c r="L96" s="25">
        <v>5.3999999999999999E-2</v>
      </c>
      <c r="M96" s="33">
        <v>2.9000000000000001E-2</v>
      </c>
      <c r="N96" s="24">
        <f t="shared" si="4"/>
        <v>4.6629257599999994</v>
      </c>
      <c r="O96" s="40"/>
      <c r="P96" s="24">
        <f t="shared" si="5"/>
        <v>1.0886207999999999</v>
      </c>
      <c r="Q96" s="24">
        <f t="shared" si="5"/>
        <v>0.69399575999999996</v>
      </c>
      <c r="R96" s="24">
        <f t="shared" si="5"/>
        <v>2.4493967999999998E-2</v>
      </c>
      <c r="S96" s="24">
        <f t="shared" si="3"/>
        <v>1.3154168000000001E-2</v>
      </c>
      <c r="T96" s="1">
        <v>18</v>
      </c>
      <c r="V96" s="1">
        <v>57</v>
      </c>
      <c r="W96" s="1">
        <v>0.56999999999999995</v>
      </c>
      <c r="X96" s="1">
        <v>0.31</v>
      </c>
      <c r="Y96" s="1">
        <v>8.5</v>
      </c>
      <c r="Z96" s="1">
        <v>0.3</v>
      </c>
      <c r="AA96" s="6">
        <v>0.16</v>
      </c>
    </row>
    <row r="97" spans="1:27">
      <c r="A97" s="3"/>
      <c r="D97" s="1">
        <v>800</v>
      </c>
      <c r="E97" s="1">
        <f>D97*$I$2</f>
        <v>362.87360000000001</v>
      </c>
      <c r="F97" s="25">
        <v>1.5</v>
      </c>
      <c r="G97" s="25">
        <f t="shared" si="2"/>
        <v>0.68038799999999999</v>
      </c>
      <c r="H97" s="32">
        <v>11.35</v>
      </c>
      <c r="I97" s="25">
        <v>6.5</v>
      </c>
      <c r="J97" s="25">
        <v>2.6</v>
      </c>
      <c r="K97" s="25">
        <v>1.58</v>
      </c>
      <c r="L97" s="25">
        <v>5.3999999999999999E-2</v>
      </c>
      <c r="M97" s="33">
        <v>0.03</v>
      </c>
      <c r="N97" s="24">
        <f t="shared" si="4"/>
        <v>5.1482691999999997</v>
      </c>
      <c r="O97" s="40"/>
      <c r="P97" s="24">
        <f t="shared" si="5"/>
        <v>1.1793392</v>
      </c>
      <c r="Q97" s="24">
        <f t="shared" si="5"/>
        <v>0.71667535999999998</v>
      </c>
      <c r="R97" s="24">
        <f t="shared" si="5"/>
        <v>2.4493967999999998E-2</v>
      </c>
      <c r="S97" s="24">
        <f t="shared" si="3"/>
        <v>1.360776E-2</v>
      </c>
      <c r="T97" s="1">
        <v>19.899999999999999</v>
      </c>
      <c r="V97" s="1">
        <v>56.9</v>
      </c>
      <c r="W97" s="1">
        <v>0.56999999999999995</v>
      </c>
      <c r="X97" s="1">
        <v>0.31</v>
      </c>
      <c r="Y97" s="1">
        <v>7.9</v>
      </c>
      <c r="Z97" s="1">
        <v>0.27</v>
      </c>
      <c r="AA97" s="6">
        <v>0.15</v>
      </c>
    </row>
    <row r="98" spans="1:27">
      <c r="A98" s="3"/>
      <c r="D98" s="1">
        <v>900</v>
      </c>
      <c r="E98" s="1">
        <f>D98*$I$2</f>
        <v>408.2328</v>
      </c>
      <c r="F98" s="25">
        <v>1.5</v>
      </c>
      <c r="G98" s="25">
        <f t="shared" si="2"/>
        <v>0.68038799999999999</v>
      </c>
      <c r="H98" s="32">
        <v>12.4</v>
      </c>
      <c r="I98" s="25">
        <v>7.1</v>
      </c>
      <c r="J98" s="25">
        <v>2.9</v>
      </c>
      <c r="K98" s="25">
        <v>1.63</v>
      </c>
      <c r="L98" s="25">
        <v>5.5E-2</v>
      </c>
      <c r="M98" s="33">
        <v>3.2000000000000001E-2</v>
      </c>
      <c r="N98" s="24">
        <f t="shared" si="4"/>
        <v>5.6245408000000001</v>
      </c>
      <c r="O98" s="40"/>
      <c r="P98" s="24">
        <f t="shared" si="5"/>
        <v>1.3154167999999999</v>
      </c>
      <c r="Q98" s="24">
        <f t="shared" si="5"/>
        <v>0.73935495999999989</v>
      </c>
      <c r="R98" s="24">
        <f t="shared" si="5"/>
        <v>2.4947560000000001E-2</v>
      </c>
      <c r="S98" s="24">
        <f t="shared" si="3"/>
        <v>1.4514944E-2</v>
      </c>
      <c r="T98" s="1">
        <v>21.8</v>
      </c>
      <c r="V98" s="1">
        <v>56.9</v>
      </c>
      <c r="W98" s="1">
        <v>0.56999999999999995</v>
      </c>
      <c r="X98" s="1">
        <v>0.31</v>
      </c>
      <c r="Y98" s="1">
        <v>7.5</v>
      </c>
      <c r="Z98" s="1">
        <v>0.25</v>
      </c>
      <c r="AA98" s="6">
        <v>0.15</v>
      </c>
    </row>
    <row r="99" spans="1:27">
      <c r="A99" s="3"/>
      <c r="D99" s="15">
        <v>1000</v>
      </c>
      <c r="E99" s="1">
        <f>D99*$I$2</f>
        <v>453.59199999999998</v>
      </c>
      <c r="F99" s="25">
        <v>1.5</v>
      </c>
      <c r="G99" s="25">
        <f t="shared" si="2"/>
        <v>0.68038799999999999</v>
      </c>
      <c r="H99" s="32">
        <v>13.43</v>
      </c>
      <c r="I99" s="25">
        <v>7.7</v>
      </c>
      <c r="J99" s="25">
        <v>3.1</v>
      </c>
      <c r="K99" s="25">
        <v>1.68</v>
      </c>
      <c r="L99" s="25">
        <v>5.6000000000000001E-2</v>
      </c>
      <c r="M99" s="33">
        <v>3.3000000000000002E-2</v>
      </c>
      <c r="N99" s="24">
        <f t="shared" si="4"/>
        <v>6.0917405599999999</v>
      </c>
      <c r="O99" s="40"/>
      <c r="P99" s="24">
        <f t="shared" si="5"/>
        <v>1.4061352</v>
      </c>
      <c r="Q99" s="24">
        <f t="shared" si="5"/>
        <v>0.76203455999999992</v>
      </c>
      <c r="R99" s="24">
        <f t="shared" si="5"/>
        <v>2.5401152E-2</v>
      </c>
      <c r="S99" s="24">
        <f t="shared" si="3"/>
        <v>1.4968536000000001E-2</v>
      </c>
      <c r="T99" s="1">
        <v>23.6</v>
      </c>
      <c r="V99" s="1">
        <v>56.9</v>
      </c>
      <c r="W99" s="1">
        <v>0.56999999999999995</v>
      </c>
      <c r="X99" s="1">
        <v>0.31</v>
      </c>
      <c r="Y99" s="1">
        <v>7.1</v>
      </c>
      <c r="Z99" s="1">
        <v>0.24</v>
      </c>
      <c r="AA99" s="6">
        <v>0.14000000000000001</v>
      </c>
    </row>
    <row r="100" spans="1:27">
      <c r="A100" s="3"/>
      <c r="D100" s="15">
        <v>1100</v>
      </c>
      <c r="E100" s="1">
        <f>D100*$I$2</f>
        <v>498.95119999999997</v>
      </c>
      <c r="F100" s="25">
        <v>1.5</v>
      </c>
      <c r="G100" s="25">
        <f t="shared" si="2"/>
        <v>0.68038799999999999</v>
      </c>
      <c r="H100" s="32">
        <v>14.45</v>
      </c>
      <c r="I100" s="25">
        <v>8.3000000000000007</v>
      </c>
      <c r="J100" s="25">
        <v>3.4</v>
      </c>
      <c r="K100" s="25">
        <v>1.73</v>
      </c>
      <c r="L100" s="25">
        <v>5.7000000000000002E-2</v>
      </c>
      <c r="M100" s="33">
        <v>3.5000000000000003E-2</v>
      </c>
      <c r="N100" s="24">
        <f t="shared" si="4"/>
        <v>6.5544043999999992</v>
      </c>
      <c r="O100" s="40"/>
      <c r="P100" s="24">
        <f t="shared" si="5"/>
        <v>1.5422127999999999</v>
      </c>
      <c r="Q100" s="24">
        <f t="shared" si="5"/>
        <v>0.78471415999999994</v>
      </c>
      <c r="R100" s="24">
        <f t="shared" si="5"/>
        <v>2.5854743999999999E-2</v>
      </c>
      <c r="S100" s="24">
        <f t="shared" si="3"/>
        <v>1.5875720000000003E-2</v>
      </c>
      <c r="T100" s="1">
        <v>25.3</v>
      </c>
      <c r="V100" s="1">
        <v>57</v>
      </c>
      <c r="W100" s="1">
        <v>0.56999999999999995</v>
      </c>
      <c r="X100" s="1">
        <v>0.31</v>
      </c>
      <c r="Y100" s="1">
        <v>6.8</v>
      </c>
      <c r="Z100" s="1">
        <v>0.22</v>
      </c>
      <c r="AA100" s="6">
        <v>0.14000000000000001</v>
      </c>
    </row>
    <row r="101" spans="1:27">
      <c r="A101" s="3"/>
      <c r="D101" s="1">
        <v>600</v>
      </c>
      <c r="E101" s="1">
        <f>D101*$I$2</f>
        <v>272.15519999999998</v>
      </c>
      <c r="F101" s="25">
        <v>2</v>
      </c>
      <c r="G101" s="25">
        <f t="shared" si="2"/>
        <v>0.90718399999999999</v>
      </c>
      <c r="H101" s="32">
        <v>9.91</v>
      </c>
      <c r="I101" s="25">
        <v>5.3</v>
      </c>
      <c r="J101" s="25">
        <v>2.9</v>
      </c>
      <c r="K101" s="25">
        <v>1.68</v>
      </c>
      <c r="L101" s="25">
        <v>6.4000000000000001E-2</v>
      </c>
      <c r="M101" s="33">
        <v>3.2000000000000001E-2</v>
      </c>
      <c r="N101" s="24">
        <f t="shared" si="4"/>
        <v>4.4950967200000003</v>
      </c>
      <c r="O101" s="40"/>
      <c r="P101" s="24">
        <f t="shared" si="5"/>
        <v>1.3154167999999999</v>
      </c>
      <c r="Q101" s="24">
        <f t="shared" si="5"/>
        <v>0.76203455999999992</v>
      </c>
      <c r="R101" s="24">
        <f t="shared" si="5"/>
        <v>2.9029888E-2</v>
      </c>
      <c r="S101" s="24">
        <f t="shared" si="3"/>
        <v>1.4514944E-2</v>
      </c>
      <c r="T101" s="1">
        <v>16.100000000000001</v>
      </c>
      <c r="V101" s="1">
        <v>61.4</v>
      </c>
      <c r="W101" s="1">
        <v>0.64</v>
      </c>
      <c r="X101" s="1">
        <v>0.37</v>
      </c>
      <c r="Y101" s="1">
        <v>10.4</v>
      </c>
      <c r="Z101" s="1">
        <v>0.4</v>
      </c>
      <c r="AA101" s="6">
        <v>0.2</v>
      </c>
    </row>
    <row r="102" spans="1:27">
      <c r="A102" s="3"/>
      <c r="D102" s="1">
        <v>700</v>
      </c>
      <c r="E102" s="1">
        <f>D102*$I$2</f>
        <v>317.51440000000002</v>
      </c>
      <c r="F102" s="25">
        <v>2</v>
      </c>
      <c r="G102" s="25">
        <f t="shared" si="2"/>
        <v>0.90718399999999999</v>
      </c>
      <c r="H102" s="32">
        <v>11.1</v>
      </c>
      <c r="I102" s="25">
        <v>5.9</v>
      </c>
      <c r="J102" s="25">
        <v>3.3</v>
      </c>
      <c r="K102" s="25">
        <v>1.72</v>
      </c>
      <c r="L102" s="25">
        <v>6.4000000000000001E-2</v>
      </c>
      <c r="M102" s="33">
        <v>3.3000000000000002E-2</v>
      </c>
      <c r="N102" s="24">
        <f t="shared" si="4"/>
        <v>5.0348711999999995</v>
      </c>
      <c r="O102" s="40"/>
      <c r="P102" s="24">
        <f t="shared" si="5"/>
        <v>1.4968535999999999</v>
      </c>
      <c r="Q102" s="24">
        <f t="shared" si="5"/>
        <v>0.78017824000000002</v>
      </c>
      <c r="R102" s="24">
        <f t="shared" si="5"/>
        <v>2.9029888E-2</v>
      </c>
      <c r="S102" s="24">
        <f t="shared" si="3"/>
        <v>1.4968536000000001E-2</v>
      </c>
      <c r="T102" s="1">
        <v>18.100000000000001</v>
      </c>
      <c r="V102" s="1">
        <v>61.3</v>
      </c>
      <c r="W102" s="1">
        <v>0.64</v>
      </c>
      <c r="X102" s="1">
        <v>0.37</v>
      </c>
      <c r="Y102" s="1">
        <v>9.5</v>
      </c>
      <c r="Z102" s="1">
        <v>0.35</v>
      </c>
      <c r="AA102" s="6">
        <v>0.18</v>
      </c>
    </row>
    <row r="103" spans="1:27">
      <c r="A103" s="3"/>
      <c r="D103" s="1">
        <v>800</v>
      </c>
      <c r="E103" s="1">
        <f>D103*$I$2</f>
        <v>362.87360000000001</v>
      </c>
      <c r="F103" s="25">
        <v>2</v>
      </c>
      <c r="G103" s="25">
        <f t="shared" si="2"/>
        <v>0.90718399999999999</v>
      </c>
      <c r="H103" s="32">
        <v>12.25</v>
      </c>
      <c r="I103" s="25">
        <v>6.5</v>
      </c>
      <c r="J103" s="25">
        <v>3.6</v>
      </c>
      <c r="K103" s="25">
        <v>1.75</v>
      </c>
      <c r="L103" s="25">
        <v>6.3E-2</v>
      </c>
      <c r="M103" s="33">
        <v>3.4000000000000002E-2</v>
      </c>
      <c r="N103" s="24">
        <f t="shared" si="4"/>
        <v>5.5565020000000001</v>
      </c>
      <c r="O103" s="40"/>
      <c r="P103" s="24">
        <f t="shared" si="5"/>
        <v>1.6329312</v>
      </c>
      <c r="Q103" s="24">
        <f t="shared" si="5"/>
        <v>0.79378599999999999</v>
      </c>
      <c r="R103" s="24">
        <f t="shared" si="5"/>
        <v>2.8576296000000001E-2</v>
      </c>
      <c r="S103" s="24">
        <f t="shared" si="3"/>
        <v>1.5422128E-2</v>
      </c>
      <c r="T103" s="1">
        <v>20</v>
      </c>
      <c r="V103" s="1">
        <v>61.2</v>
      </c>
      <c r="W103" s="1">
        <v>0.63</v>
      </c>
      <c r="X103" s="1">
        <v>0.37</v>
      </c>
      <c r="Y103" s="1">
        <v>8.8000000000000007</v>
      </c>
      <c r="Z103" s="1">
        <v>0.32</v>
      </c>
      <c r="AA103" s="6">
        <v>0.17</v>
      </c>
    </row>
    <row r="104" spans="1:27">
      <c r="A104" s="3"/>
      <c r="D104" s="1">
        <v>900</v>
      </c>
      <c r="E104" s="1">
        <f>D104*$I$2</f>
        <v>408.2328</v>
      </c>
      <c r="F104" s="25">
        <v>2</v>
      </c>
      <c r="G104" s="25">
        <f t="shared" si="2"/>
        <v>0.90718399999999999</v>
      </c>
      <c r="H104" s="32">
        <v>13.39</v>
      </c>
      <c r="I104" s="25">
        <v>7.1</v>
      </c>
      <c r="J104" s="25">
        <v>4</v>
      </c>
      <c r="K104" s="25">
        <v>1.79</v>
      </c>
      <c r="L104" s="25">
        <v>6.3E-2</v>
      </c>
      <c r="M104" s="33">
        <v>3.5000000000000003E-2</v>
      </c>
      <c r="N104" s="24">
        <f t="shared" si="4"/>
        <v>6.0735968800000002</v>
      </c>
      <c r="O104" s="40"/>
      <c r="P104" s="24">
        <f t="shared" si="5"/>
        <v>1.814368</v>
      </c>
      <c r="Q104" s="24">
        <f t="shared" si="5"/>
        <v>0.81192967999999999</v>
      </c>
      <c r="R104" s="24">
        <f t="shared" si="5"/>
        <v>2.8576296000000001E-2</v>
      </c>
      <c r="S104" s="24">
        <f t="shared" si="3"/>
        <v>1.5875720000000003E-2</v>
      </c>
      <c r="T104" s="1">
        <v>21.9</v>
      </c>
      <c r="V104" s="1">
        <v>61.2</v>
      </c>
      <c r="W104" s="1">
        <v>0.63</v>
      </c>
      <c r="X104" s="1">
        <v>0.37</v>
      </c>
      <c r="Y104" s="1">
        <v>8.1999999999999993</v>
      </c>
      <c r="Z104" s="1">
        <v>0.28999999999999998</v>
      </c>
      <c r="AA104" s="6">
        <v>0.16</v>
      </c>
    </row>
    <row r="105" spans="1:27">
      <c r="A105" s="3"/>
      <c r="D105" s="15">
        <v>1000</v>
      </c>
      <c r="E105" s="1">
        <f>D105*$I$2</f>
        <v>453.59199999999998</v>
      </c>
      <c r="F105" s="25">
        <v>2</v>
      </c>
      <c r="G105" s="25">
        <f t="shared" si="2"/>
        <v>0.90718399999999999</v>
      </c>
      <c r="H105" s="32">
        <v>14.5</v>
      </c>
      <c r="I105" s="25">
        <v>7.7</v>
      </c>
      <c r="J105" s="25">
        <v>4.3</v>
      </c>
      <c r="K105" s="25">
        <v>1.82</v>
      </c>
      <c r="L105" s="25">
        <v>6.3E-2</v>
      </c>
      <c r="M105" s="33">
        <v>3.5999999999999997E-2</v>
      </c>
      <c r="N105" s="24">
        <f t="shared" si="4"/>
        <v>6.5770840000000002</v>
      </c>
      <c r="O105" s="40"/>
      <c r="P105" s="24">
        <f t="shared" si="5"/>
        <v>1.9504455999999999</v>
      </c>
      <c r="Q105" s="24">
        <f t="shared" si="5"/>
        <v>0.82553744000000007</v>
      </c>
      <c r="R105" s="24">
        <f t="shared" si="5"/>
        <v>2.8576296000000001E-2</v>
      </c>
      <c r="S105" s="24">
        <f t="shared" si="3"/>
        <v>1.6329311999999999E-2</v>
      </c>
      <c r="T105" s="1">
        <v>23.7</v>
      </c>
      <c r="V105" s="1">
        <v>61.2</v>
      </c>
      <c r="W105" s="1">
        <v>0.63</v>
      </c>
      <c r="X105" s="1">
        <v>0.37</v>
      </c>
      <c r="Y105" s="1">
        <v>7.7</v>
      </c>
      <c r="Z105" s="1">
        <v>0.27</v>
      </c>
      <c r="AA105" s="6">
        <v>0.15</v>
      </c>
    </row>
    <row r="106" spans="1:27">
      <c r="A106" s="3"/>
      <c r="D106" s="15">
        <v>1100</v>
      </c>
      <c r="E106" s="1">
        <f>D106*$I$2</f>
        <v>498.95119999999997</v>
      </c>
      <c r="F106" s="25">
        <v>2</v>
      </c>
      <c r="G106" s="25">
        <f t="shared" si="2"/>
        <v>0.90718399999999999</v>
      </c>
      <c r="H106" s="32">
        <v>15.59</v>
      </c>
      <c r="I106" s="25">
        <v>8.3000000000000007</v>
      </c>
      <c r="J106" s="25">
        <v>4.5999999999999996</v>
      </c>
      <c r="K106" s="25">
        <v>1.86</v>
      </c>
      <c r="L106" s="25">
        <v>6.3E-2</v>
      </c>
      <c r="M106" s="33">
        <v>3.6999999999999998E-2</v>
      </c>
      <c r="N106" s="24">
        <f t="shared" si="4"/>
        <v>7.0714992800000003</v>
      </c>
      <c r="O106" s="40"/>
      <c r="P106" s="24">
        <f t="shared" si="5"/>
        <v>2.0865231999999998</v>
      </c>
      <c r="Q106" s="24">
        <f t="shared" si="5"/>
        <v>0.84368112000000006</v>
      </c>
      <c r="R106" s="24">
        <f t="shared" si="5"/>
        <v>2.8576296000000001E-2</v>
      </c>
      <c r="S106" s="24">
        <f t="shared" si="3"/>
        <v>1.6782903999999998E-2</v>
      </c>
      <c r="T106" s="1">
        <v>25.4</v>
      </c>
      <c r="V106" s="1">
        <v>61.3</v>
      </c>
      <c r="W106" s="1">
        <v>0.64</v>
      </c>
      <c r="X106" s="1">
        <v>0.37</v>
      </c>
      <c r="Y106" s="1">
        <v>7.3</v>
      </c>
      <c r="Z106" s="1">
        <v>0.25</v>
      </c>
      <c r="AA106" s="6">
        <v>0.15</v>
      </c>
    </row>
    <row r="107" spans="1:27">
      <c r="A107" s="3"/>
      <c r="D107" s="1">
        <v>600</v>
      </c>
      <c r="E107" s="1">
        <f>D107*$I$2</f>
        <v>272.15519999999998</v>
      </c>
      <c r="F107" s="25">
        <v>2.5</v>
      </c>
      <c r="G107" s="25">
        <f t="shared" si="2"/>
        <v>1.13398</v>
      </c>
      <c r="H107" s="32">
        <v>10.58</v>
      </c>
      <c r="I107" s="25">
        <v>5.3</v>
      </c>
      <c r="J107" s="25">
        <v>3.7</v>
      </c>
      <c r="K107" s="25">
        <v>1.88</v>
      </c>
      <c r="L107" s="25">
        <v>7.4999999999999997E-2</v>
      </c>
      <c r="M107" s="33">
        <v>3.6999999999999998E-2</v>
      </c>
      <c r="N107" s="24">
        <f t="shared" si="4"/>
        <v>4.7990033600000004</v>
      </c>
      <c r="O107" s="40"/>
      <c r="P107" s="24">
        <f t="shared" si="5"/>
        <v>1.6782904000000001</v>
      </c>
      <c r="Q107" s="24">
        <f t="shared" si="5"/>
        <v>0.85275295999999989</v>
      </c>
      <c r="R107" s="24">
        <f t="shared" si="5"/>
        <v>3.4019399999999998E-2</v>
      </c>
      <c r="S107" s="24">
        <f t="shared" si="3"/>
        <v>1.6782903999999998E-2</v>
      </c>
      <c r="T107" s="1">
        <v>16</v>
      </c>
      <c r="V107" s="1">
        <v>66.2</v>
      </c>
      <c r="W107" s="1">
        <v>0.71</v>
      </c>
      <c r="X107" s="1">
        <v>0.44</v>
      </c>
      <c r="Y107" s="1">
        <v>11.8</v>
      </c>
      <c r="Z107" s="1">
        <v>0.47</v>
      </c>
      <c r="AA107" s="6">
        <v>0.23</v>
      </c>
    </row>
    <row r="108" spans="1:27">
      <c r="A108" s="3"/>
      <c r="D108" s="1">
        <v>700</v>
      </c>
      <c r="E108" s="1">
        <f>D108*$I$2</f>
        <v>317.51440000000002</v>
      </c>
      <c r="F108" s="25">
        <v>2.5</v>
      </c>
      <c r="G108" s="25">
        <f t="shared" si="2"/>
        <v>1.13398</v>
      </c>
      <c r="H108" s="32">
        <v>11.86</v>
      </c>
      <c r="I108" s="25">
        <v>5.9</v>
      </c>
      <c r="J108" s="25">
        <v>4.2</v>
      </c>
      <c r="K108" s="25">
        <v>1.9</v>
      </c>
      <c r="L108" s="25">
        <v>7.3999999999999996E-2</v>
      </c>
      <c r="M108" s="33">
        <v>3.6999999999999998E-2</v>
      </c>
      <c r="N108" s="24">
        <f t="shared" si="4"/>
        <v>5.3796011199999993</v>
      </c>
      <c r="O108" s="40"/>
      <c r="P108" s="24">
        <f t="shared" si="5"/>
        <v>1.9050864000000001</v>
      </c>
      <c r="Q108" s="24">
        <f t="shared" si="5"/>
        <v>0.86182479999999995</v>
      </c>
      <c r="R108" s="24">
        <f t="shared" si="5"/>
        <v>3.3565807999999996E-2</v>
      </c>
      <c r="S108" s="24">
        <f t="shared" si="3"/>
        <v>1.6782903999999998E-2</v>
      </c>
      <c r="T108" s="1">
        <v>18</v>
      </c>
      <c r="V108" s="1">
        <v>66</v>
      </c>
      <c r="W108" s="1">
        <v>0.71</v>
      </c>
      <c r="X108" s="1">
        <v>0.44</v>
      </c>
      <c r="Y108" s="1">
        <v>10.6</v>
      </c>
      <c r="Z108" s="1">
        <v>0.41</v>
      </c>
      <c r="AA108" s="6">
        <v>0.21</v>
      </c>
    </row>
    <row r="109" spans="1:27">
      <c r="A109" s="3"/>
      <c r="D109" s="1">
        <v>800</v>
      </c>
      <c r="E109" s="1">
        <f>D109*$I$2</f>
        <v>362.87360000000001</v>
      </c>
      <c r="F109" s="25">
        <v>2.5</v>
      </c>
      <c r="G109" s="25">
        <f t="shared" si="2"/>
        <v>1.13398</v>
      </c>
      <c r="H109" s="32">
        <v>13.09</v>
      </c>
      <c r="I109" s="25">
        <v>6.5</v>
      </c>
      <c r="J109" s="25">
        <v>4.5999999999999996</v>
      </c>
      <c r="K109" s="25">
        <v>1.92</v>
      </c>
      <c r="L109" s="25">
        <v>7.2999999999999995E-2</v>
      </c>
      <c r="M109" s="33">
        <v>3.7999999999999999E-2</v>
      </c>
      <c r="N109" s="24">
        <f t="shared" si="4"/>
        <v>5.9375192800000001</v>
      </c>
      <c r="O109" s="40"/>
      <c r="P109" s="24">
        <f t="shared" si="5"/>
        <v>2.0865231999999998</v>
      </c>
      <c r="Q109" s="24">
        <f t="shared" si="5"/>
        <v>0.87089664</v>
      </c>
      <c r="R109" s="24">
        <f t="shared" si="5"/>
        <v>3.3112216E-2</v>
      </c>
      <c r="S109" s="24">
        <f t="shared" si="3"/>
        <v>1.7236496E-2</v>
      </c>
      <c r="T109" s="1">
        <v>19.8</v>
      </c>
      <c r="V109" s="1">
        <v>66</v>
      </c>
      <c r="W109" s="1">
        <v>0.71</v>
      </c>
      <c r="X109" s="1">
        <v>0.43</v>
      </c>
      <c r="Y109" s="1">
        <v>9.6999999999999993</v>
      </c>
      <c r="Z109" s="1">
        <v>0.37</v>
      </c>
      <c r="AA109" s="6">
        <v>0.19</v>
      </c>
    </row>
    <row r="110" spans="1:27">
      <c r="A110" s="3"/>
      <c r="D110" s="1">
        <v>900</v>
      </c>
      <c r="E110" s="1">
        <f>D110*$I$2</f>
        <v>408.2328</v>
      </c>
      <c r="F110" s="25">
        <v>2.5</v>
      </c>
      <c r="G110" s="25">
        <f t="shared" si="2"/>
        <v>1.13398</v>
      </c>
      <c r="H110" s="32">
        <v>14.3</v>
      </c>
      <c r="I110" s="25">
        <v>7.1</v>
      </c>
      <c r="J110" s="25">
        <v>5</v>
      </c>
      <c r="K110" s="25">
        <v>1.94</v>
      </c>
      <c r="L110" s="25">
        <v>7.1999999999999995E-2</v>
      </c>
      <c r="M110" s="33">
        <v>3.7999999999999999E-2</v>
      </c>
      <c r="N110" s="24">
        <f t="shared" si="4"/>
        <v>6.4863656000000001</v>
      </c>
      <c r="O110" s="40"/>
      <c r="P110" s="24">
        <f t="shared" si="5"/>
        <v>2.26796</v>
      </c>
      <c r="Q110" s="24">
        <f t="shared" si="5"/>
        <v>0.87996847999999994</v>
      </c>
      <c r="R110" s="24">
        <f t="shared" si="5"/>
        <v>3.2658623999999997E-2</v>
      </c>
      <c r="S110" s="24">
        <f t="shared" si="3"/>
        <v>1.7236496E-2</v>
      </c>
      <c r="T110" s="1">
        <v>21.7</v>
      </c>
      <c r="V110" s="1">
        <v>65.900000000000006</v>
      </c>
      <c r="W110" s="1">
        <v>0.71</v>
      </c>
      <c r="X110" s="1">
        <v>0.43</v>
      </c>
      <c r="Y110" s="1">
        <v>9</v>
      </c>
      <c r="Z110" s="1">
        <v>0.33</v>
      </c>
      <c r="AA110" s="6">
        <v>0.18</v>
      </c>
    </row>
    <row r="111" spans="1:27">
      <c r="A111" s="3"/>
      <c r="D111" s="15">
        <v>1000</v>
      </c>
      <c r="E111" s="1">
        <f>D111*$I$2</f>
        <v>453.59199999999998</v>
      </c>
      <c r="F111" s="25">
        <v>2.5</v>
      </c>
      <c r="G111" s="25">
        <f t="shared" si="2"/>
        <v>1.13398</v>
      </c>
      <c r="H111" s="32">
        <v>15.49</v>
      </c>
      <c r="I111" s="25">
        <v>7.7</v>
      </c>
      <c r="J111" s="25">
        <v>5.5</v>
      </c>
      <c r="K111" s="25">
        <v>1.96</v>
      </c>
      <c r="L111" s="25">
        <v>7.0999999999999994E-2</v>
      </c>
      <c r="M111" s="33">
        <v>3.9E-2</v>
      </c>
      <c r="N111" s="24">
        <f t="shared" si="4"/>
        <v>7.0261400800000002</v>
      </c>
      <c r="O111" s="40"/>
      <c r="P111" s="24">
        <f t="shared" si="5"/>
        <v>2.4947559999999998</v>
      </c>
      <c r="Q111" s="24">
        <f t="shared" si="5"/>
        <v>0.88904032</v>
      </c>
      <c r="R111" s="24">
        <f t="shared" si="5"/>
        <v>3.2205031999999995E-2</v>
      </c>
      <c r="S111" s="24">
        <f t="shared" si="3"/>
        <v>1.7690088E-2</v>
      </c>
      <c r="T111" s="1">
        <v>23.5</v>
      </c>
      <c r="V111" s="1">
        <v>66</v>
      </c>
      <c r="W111" s="1">
        <v>0.71</v>
      </c>
      <c r="X111" s="1">
        <v>0.43</v>
      </c>
      <c r="Y111" s="1">
        <v>8.4</v>
      </c>
      <c r="Z111" s="1">
        <v>0.3</v>
      </c>
      <c r="AA111" s="6">
        <v>0.17</v>
      </c>
    </row>
    <row r="112" spans="1:27">
      <c r="A112" s="3"/>
      <c r="D112" s="15">
        <v>1100</v>
      </c>
      <c r="E112" s="1">
        <f>D112*$I$2</f>
        <v>498.95119999999997</v>
      </c>
      <c r="F112" s="25">
        <v>2.5</v>
      </c>
      <c r="G112" s="25">
        <f t="shared" si="2"/>
        <v>1.13398</v>
      </c>
      <c r="H112" s="32">
        <v>16.64</v>
      </c>
      <c r="I112" s="25">
        <v>8.3000000000000007</v>
      </c>
      <c r="J112" s="25">
        <v>5.9</v>
      </c>
      <c r="K112" s="25">
        <v>1.98</v>
      </c>
      <c r="L112" s="25">
        <v>7.0000000000000007E-2</v>
      </c>
      <c r="M112" s="33">
        <v>0.04</v>
      </c>
      <c r="N112" s="24">
        <f t="shared" si="4"/>
        <v>7.5477708799999998</v>
      </c>
      <c r="O112" s="40"/>
      <c r="P112" s="24">
        <f t="shared" si="5"/>
        <v>2.6761927999999999</v>
      </c>
      <c r="Q112" s="24">
        <f t="shared" si="5"/>
        <v>0.89811215999999994</v>
      </c>
      <c r="R112" s="24">
        <f t="shared" si="5"/>
        <v>3.1751440000000006E-2</v>
      </c>
      <c r="S112" s="24">
        <f t="shared" si="3"/>
        <v>1.8143679999999999E-2</v>
      </c>
      <c r="T112" s="1">
        <v>25.2</v>
      </c>
      <c r="V112" s="1">
        <v>66</v>
      </c>
      <c r="W112" s="1">
        <v>0.71</v>
      </c>
      <c r="X112" s="1">
        <v>0.44</v>
      </c>
      <c r="Y112" s="1">
        <v>7.9</v>
      </c>
      <c r="Z112" s="1">
        <v>0.28000000000000003</v>
      </c>
      <c r="AA112" s="6">
        <v>0.16</v>
      </c>
    </row>
    <row r="113" spans="1:27">
      <c r="A113" s="3"/>
      <c r="D113" s="1">
        <v>600</v>
      </c>
      <c r="E113" s="1">
        <f>D113*$I$2</f>
        <v>272.15519999999998</v>
      </c>
      <c r="F113" s="25">
        <v>3</v>
      </c>
      <c r="G113" s="25">
        <f t="shared" ref="G113:G176" si="6">F113*$I$2</f>
        <v>1.360776</v>
      </c>
      <c r="H113" s="32">
        <v>11.21</v>
      </c>
      <c r="I113" s="25">
        <v>5.3</v>
      </c>
      <c r="J113" s="25">
        <v>4.5</v>
      </c>
      <c r="K113" s="25">
        <v>2.08</v>
      </c>
      <c r="L113" s="25">
        <v>8.5999999999999993E-2</v>
      </c>
      <c r="M113" s="33">
        <v>4.1000000000000002E-2</v>
      </c>
      <c r="N113" s="24">
        <f t="shared" si="4"/>
        <v>5.08476632</v>
      </c>
      <c r="O113" s="40"/>
      <c r="P113" s="24">
        <f t="shared" si="5"/>
        <v>2.0411640000000002</v>
      </c>
      <c r="Q113" s="24">
        <f t="shared" si="5"/>
        <v>0.94347135999999998</v>
      </c>
      <c r="R113" s="24">
        <f t="shared" si="5"/>
        <v>3.9008912E-2</v>
      </c>
      <c r="S113" s="24">
        <f t="shared" si="3"/>
        <v>1.8597272000000001E-2</v>
      </c>
      <c r="T113" s="1">
        <v>15.6</v>
      </c>
      <c r="V113" s="1">
        <v>71.8</v>
      </c>
      <c r="W113" s="1">
        <v>0.79</v>
      </c>
      <c r="X113" s="1">
        <v>0.51</v>
      </c>
      <c r="Y113" s="1">
        <v>13.3</v>
      </c>
      <c r="Z113" s="1">
        <v>0.55000000000000004</v>
      </c>
      <c r="AA113" s="6">
        <v>0.26</v>
      </c>
    </row>
    <row r="114" spans="1:27">
      <c r="A114" s="3"/>
      <c r="D114" s="1">
        <v>700</v>
      </c>
      <c r="E114" s="1">
        <f>D114*$I$2</f>
        <v>317.51440000000002</v>
      </c>
      <c r="F114" s="25">
        <v>3</v>
      </c>
      <c r="G114" s="25">
        <f t="shared" si="6"/>
        <v>1.360776</v>
      </c>
      <c r="H114" s="32">
        <v>12.56</v>
      </c>
      <c r="I114" s="25">
        <v>5.9</v>
      </c>
      <c r="J114" s="25">
        <v>5.0999999999999996</v>
      </c>
      <c r="K114" s="25">
        <v>2.09</v>
      </c>
      <c r="L114" s="25">
        <v>8.3000000000000004E-2</v>
      </c>
      <c r="M114" s="33">
        <v>4.1000000000000002E-2</v>
      </c>
      <c r="N114" s="24">
        <f t="shared" si="4"/>
        <v>5.6971155200000005</v>
      </c>
      <c r="O114" s="40"/>
      <c r="P114" s="24">
        <f t="shared" si="5"/>
        <v>2.3133192</v>
      </c>
      <c r="Q114" s="24">
        <f t="shared" si="5"/>
        <v>0.9480072799999999</v>
      </c>
      <c r="R114" s="24">
        <f t="shared" si="5"/>
        <v>3.7648135999999999E-2</v>
      </c>
      <c r="S114" s="24">
        <f t="shared" si="3"/>
        <v>1.8597272000000001E-2</v>
      </c>
      <c r="T114" s="1">
        <v>17.600000000000001</v>
      </c>
      <c r="V114" s="1">
        <v>71.599999999999994</v>
      </c>
      <c r="W114" s="1">
        <v>0.79</v>
      </c>
      <c r="X114" s="1">
        <v>0.51</v>
      </c>
      <c r="Y114" s="1">
        <v>11.9</v>
      </c>
      <c r="Z114" s="1">
        <v>0.48</v>
      </c>
      <c r="AA114" s="6">
        <v>0.23</v>
      </c>
    </row>
    <row r="115" spans="1:27">
      <c r="A115" s="3"/>
      <c r="D115" s="1">
        <v>800</v>
      </c>
      <c r="E115" s="1">
        <f>D115*$I$2</f>
        <v>362.87360000000001</v>
      </c>
      <c r="F115" s="25">
        <v>3</v>
      </c>
      <c r="G115" s="25">
        <f t="shared" si="6"/>
        <v>1.360776</v>
      </c>
      <c r="H115" s="32">
        <v>13.88</v>
      </c>
      <c r="I115" s="25">
        <v>6.5</v>
      </c>
      <c r="J115" s="25">
        <v>5.6</v>
      </c>
      <c r="K115" s="25">
        <v>2.09</v>
      </c>
      <c r="L115" s="25">
        <v>8.1000000000000003E-2</v>
      </c>
      <c r="M115" s="33">
        <v>4.1000000000000002E-2</v>
      </c>
      <c r="N115" s="24">
        <f t="shared" si="4"/>
        <v>6.2958569600000001</v>
      </c>
      <c r="O115" s="40"/>
      <c r="P115" s="24">
        <f t="shared" si="5"/>
        <v>2.5401151999999998</v>
      </c>
      <c r="Q115" s="24">
        <f t="shared" si="5"/>
        <v>0.9480072799999999</v>
      </c>
      <c r="R115" s="24">
        <f t="shared" si="5"/>
        <v>3.6740952E-2</v>
      </c>
      <c r="S115" s="24">
        <f t="shared" si="3"/>
        <v>1.8597272000000001E-2</v>
      </c>
      <c r="T115" s="1">
        <v>19.399999999999999</v>
      </c>
      <c r="V115" s="1">
        <v>71.5</v>
      </c>
      <c r="W115" s="1">
        <v>0.79</v>
      </c>
      <c r="X115" s="1">
        <v>0.51</v>
      </c>
      <c r="Y115" s="1">
        <v>10.8</v>
      </c>
      <c r="Z115" s="1">
        <v>0.42</v>
      </c>
      <c r="AA115" s="6">
        <v>0.21</v>
      </c>
    </row>
    <row r="116" spans="1:27">
      <c r="A116" s="3"/>
      <c r="D116" s="1">
        <v>900</v>
      </c>
      <c r="E116" s="1">
        <f>D116*$I$2</f>
        <v>408.2328</v>
      </c>
      <c r="F116" s="25">
        <v>3</v>
      </c>
      <c r="G116" s="25">
        <f t="shared" si="6"/>
        <v>1.360776</v>
      </c>
      <c r="H116" s="32">
        <v>15.16</v>
      </c>
      <c r="I116" s="25">
        <v>7.1</v>
      </c>
      <c r="J116" s="25">
        <v>6.2</v>
      </c>
      <c r="K116" s="25">
        <v>2.09</v>
      </c>
      <c r="L116" s="25">
        <v>0.08</v>
      </c>
      <c r="M116" s="33">
        <v>4.2000000000000003E-2</v>
      </c>
      <c r="N116" s="24">
        <f t="shared" si="4"/>
        <v>6.8764547199999999</v>
      </c>
      <c r="O116" s="40"/>
      <c r="P116" s="24">
        <f t="shared" si="5"/>
        <v>2.8122704000000001</v>
      </c>
      <c r="Q116" s="24">
        <f t="shared" si="5"/>
        <v>0.9480072799999999</v>
      </c>
      <c r="R116" s="24">
        <f t="shared" si="5"/>
        <v>3.6287359999999998E-2</v>
      </c>
      <c r="S116" s="24">
        <f t="shared" si="3"/>
        <v>1.9050864000000001E-2</v>
      </c>
      <c r="T116" s="1">
        <v>21.2</v>
      </c>
      <c r="V116" s="1">
        <v>71.5</v>
      </c>
      <c r="W116" s="1">
        <v>0.79</v>
      </c>
      <c r="X116" s="1">
        <v>0.51</v>
      </c>
      <c r="Y116" s="1">
        <v>9.9</v>
      </c>
      <c r="Z116" s="1">
        <v>0.38</v>
      </c>
      <c r="AA116" s="6">
        <v>0.2</v>
      </c>
    </row>
    <row r="117" spans="1:27">
      <c r="A117" s="3"/>
      <c r="D117" s="15">
        <v>1000</v>
      </c>
      <c r="E117" s="1">
        <f>D117*$I$2</f>
        <v>453.59199999999998</v>
      </c>
      <c r="F117" s="25">
        <v>3</v>
      </c>
      <c r="G117" s="25">
        <f t="shared" si="6"/>
        <v>1.360776</v>
      </c>
      <c r="H117" s="32">
        <v>16.41</v>
      </c>
      <c r="I117" s="25">
        <v>7.7</v>
      </c>
      <c r="J117" s="25">
        <v>6.7</v>
      </c>
      <c r="K117" s="25">
        <v>2.1</v>
      </c>
      <c r="L117" s="25">
        <v>7.8E-2</v>
      </c>
      <c r="M117" s="33">
        <v>4.2000000000000003E-2</v>
      </c>
      <c r="N117" s="24">
        <f t="shared" si="4"/>
        <v>7.4434447199999996</v>
      </c>
      <c r="O117" s="40"/>
      <c r="P117" s="24">
        <f t="shared" si="5"/>
        <v>3.0390663999999998</v>
      </c>
      <c r="Q117" s="24">
        <f t="shared" si="5"/>
        <v>0.95254320000000003</v>
      </c>
      <c r="R117" s="24">
        <f t="shared" si="5"/>
        <v>3.5380175999999999E-2</v>
      </c>
      <c r="S117" s="24">
        <f t="shared" si="3"/>
        <v>1.9050864000000001E-2</v>
      </c>
      <c r="T117" s="1">
        <v>22.9</v>
      </c>
      <c r="V117" s="1">
        <v>71.599999999999994</v>
      </c>
      <c r="W117" s="1">
        <v>0.79</v>
      </c>
      <c r="X117" s="1">
        <v>0.51</v>
      </c>
      <c r="Y117" s="1">
        <v>9.1</v>
      </c>
      <c r="Z117" s="1">
        <v>0.34</v>
      </c>
      <c r="AA117" s="6">
        <v>0.18</v>
      </c>
    </row>
    <row r="118" spans="1:27">
      <c r="A118" s="3"/>
      <c r="D118" s="15">
        <v>1100</v>
      </c>
      <c r="E118" s="1">
        <f>D118*$I$2</f>
        <v>498.95119999999997</v>
      </c>
      <c r="F118" s="25">
        <v>3</v>
      </c>
      <c r="G118" s="25">
        <f t="shared" si="6"/>
        <v>1.360776</v>
      </c>
      <c r="H118" s="32">
        <v>17.64</v>
      </c>
      <c r="I118" s="25">
        <v>8.3000000000000007</v>
      </c>
      <c r="J118" s="25">
        <v>7.2</v>
      </c>
      <c r="K118" s="25">
        <v>2.1</v>
      </c>
      <c r="L118" s="25">
        <v>7.5999999999999998E-2</v>
      </c>
      <c r="M118" s="33">
        <v>4.2999999999999997E-2</v>
      </c>
      <c r="N118" s="24">
        <f t="shared" si="4"/>
        <v>8.0013628800000003</v>
      </c>
      <c r="O118" s="40"/>
      <c r="P118" s="24">
        <f t="shared" si="5"/>
        <v>3.2658624000000001</v>
      </c>
      <c r="Q118" s="24">
        <f t="shared" si="5"/>
        <v>0.95254320000000003</v>
      </c>
      <c r="R118" s="24">
        <f t="shared" si="5"/>
        <v>3.4472992000000001E-2</v>
      </c>
      <c r="S118" s="24">
        <f t="shared" si="3"/>
        <v>1.9504456E-2</v>
      </c>
      <c r="T118" s="1">
        <v>24.6</v>
      </c>
      <c r="V118" s="1">
        <v>71.599999999999994</v>
      </c>
      <c r="W118" s="1">
        <v>0.79</v>
      </c>
      <c r="X118" s="1">
        <v>0.51</v>
      </c>
      <c r="Y118" s="1">
        <v>8.5</v>
      </c>
      <c r="Z118" s="1">
        <v>0.31</v>
      </c>
      <c r="AA118" s="6">
        <v>0.17</v>
      </c>
    </row>
    <row r="119" spans="1:27">
      <c r="A119" s="3"/>
      <c r="D119" s="1">
        <v>600</v>
      </c>
      <c r="E119" s="1">
        <f>D119*$I$2</f>
        <v>272.15519999999998</v>
      </c>
      <c r="F119" s="25">
        <v>3.3</v>
      </c>
      <c r="G119" s="25">
        <f t="shared" si="6"/>
        <v>1.4968535999999999</v>
      </c>
      <c r="H119" s="32">
        <v>11.58</v>
      </c>
      <c r="I119" s="25">
        <v>5.3</v>
      </c>
      <c r="J119" s="25">
        <v>5.0999999999999996</v>
      </c>
      <c r="K119" s="25">
        <v>2.2000000000000002</v>
      </c>
      <c r="L119" s="25">
        <v>9.1999999999999998E-2</v>
      </c>
      <c r="M119" s="33">
        <v>4.3999999999999997E-2</v>
      </c>
      <c r="N119" s="24">
        <f t="shared" si="4"/>
        <v>5.2525953599999999</v>
      </c>
      <c r="O119" s="40"/>
      <c r="P119" s="24">
        <f t="shared" si="5"/>
        <v>2.3133192</v>
      </c>
      <c r="Q119" s="24">
        <f t="shared" si="5"/>
        <v>0.99790240000000008</v>
      </c>
      <c r="R119" s="24">
        <f t="shared" si="5"/>
        <v>4.1730464000000002E-2</v>
      </c>
      <c r="S119" s="24">
        <f t="shared" si="3"/>
        <v>1.9958047999999999E-2</v>
      </c>
      <c r="T119" s="1">
        <v>15.3</v>
      </c>
      <c r="V119" s="1">
        <v>75.8</v>
      </c>
      <c r="W119" s="1">
        <v>0.85</v>
      </c>
      <c r="X119" s="1">
        <v>0.56000000000000005</v>
      </c>
      <c r="Y119" s="1">
        <v>14.4</v>
      </c>
      <c r="Z119" s="1">
        <v>0.6</v>
      </c>
      <c r="AA119" s="6">
        <v>0.28000000000000003</v>
      </c>
    </row>
    <row r="120" spans="1:27">
      <c r="A120" s="3"/>
      <c r="D120" s="1">
        <v>700</v>
      </c>
      <c r="E120" s="1">
        <f>D120*$I$2</f>
        <v>317.51440000000002</v>
      </c>
      <c r="F120" s="25">
        <v>3.3</v>
      </c>
      <c r="G120" s="25">
        <f t="shared" si="6"/>
        <v>1.4968535999999999</v>
      </c>
      <c r="H120" s="32">
        <v>12.96</v>
      </c>
      <c r="I120" s="25">
        <v>5.9</v>
      </c>
      <c r="J120" s="25">
        <v>5.7</v>
      </c>
      <c r="K120" s="25">
        <v>2.19</v>
      </c>
      <c r="L120" s="25">
        <v>8.8999999999999996E-2</v>
      </c>
      <c r="M120" s="33">
        <v>4.2999999999999997E-2</v>
      </c>
      <c r="N120" s="24">
        <f t="shared" si="4"/>
        <v>5.8785523200000007</v>
      </c>
      <c r="O120" s="40"/>
      <c r="P120" s="24">
        <f t="shared" si="5"/>
        <v>2.5854743999999998</v>
      </c>
      <c r="Q120" s="24">
        <f t="shared" si="5"/>
        <v>0.99336647999999994</v>
      </c>
      <c r="R120" s="24">
        <f t="shared" si="5"/>
        <v>4.0369688000000001E-2</v>
      </c>
      <c r="S120" s="24">
        <f t="shared" si="3"/>
        <v>1.9504456E-2</v>
      </c>
      <c r="T120" s="1">
        <v>17.2</v>
      </c>
      <c r="V120" s="1">
        <v>75.5</v>
      </c>
      <c r="W120" s="1">
        <v>0.84</v>
      </c>
      <c r="X120" s="1">
        <v>0.56000000000000005</v>
      </c>
      <c r="Y120" s="1">
        <v>12.8</v>
      </c>
      <c r="Z120" s="1">
        <v>0.52</v>
      </c>
      <c r="AA120" s="6">
        <v>0.25</v>
      </c>
    </row>
    <row r="121" spans="1:27">
      <c r="A121" s="3"/>
      <c r="D121" s="1">
        <v>800</v>
      </c>
      <c r="E121" s="1">
        <f>D121*$I$2</f>
        <v>362.87360000000001</v>
      </c>
      <c r="F121" s="25">
        <v>3.3</v>
      </c>
      <c r="G121" s="25">
        <f t="shared" si="6"/>
        <v>1.4968535999999999</v>
      </c>
      <c r="H121" s="32">
        <v>14.32</v>
      </c>
      <c r="I121" s="25">
        <v>6.5</v>
      </c>
      <c r="J121" s="25">
        <v>6.3</v>
      </c>
      <c r="K121" s="25">
        <v>2.19</v>
      </c>
      <c r="L121" s="25">
        <v>8.6999999999999994E-2</v>
      </c>
      <c r="M121" s="33">
        <v>4.3999999999999997E-2</v>
      </c>
      <c r="N121" s="24">
        <f t="shared" si="4"/>
        <v>6.4954374399999999</v>
      </c>
      <c r="O121" s="40"/>
      <c r="P121" s="24">
        <f t="shared" si="5"/>
        <v>2.8576296000000001</v>
      </c>
      <c r="Q121" s="24">
        <f t="shared" si="5"/>
        <v>0.99336647999999994</v>
      </c>
      <c r="R121" s="24">
        <f t="shared" si="5"/>
        <v>3.9462503999999995E-2</v>
      </c>
      <c r="S121" s="24">
        <f t="shared" si="3"/>
        <v>1.9958047999999999E-2</v>
      </c>
      <c r="T121" s="1">
        <v>19</v>
      </c>
      <c r="V121" s="1">
        <v>75.400000000000006</v>
      </c>
      <c r="W121" s="1">
        <v>0.84</v>
      </c>
      <c r="X121" s="1">
        <v>0.56000000000000005</v>
      </c>
      <c r="Y121" s="1">
        <v>11.5</v>
      </c>
      <c r="Z121" s="1">
        <v>0.46</v>
      </c>
      <c r="AA121" s="6">
        <v>0.23</v>
      </c>
    </row>
    <row r="122" spans="1:27">
      <c r="A122" s="3"/>
      <c r="D122" s="1">
        <v>900</v>
      </c>
      <c r="E122" s="1">
        <f>D122*$I$2</f>
        <v>408.2328</v>
      </c>
      <c r="F122" s="25">
        <v>3.3</v>
      </c>
      <c r="G122" s="25">
        <f t="shared" si="6"/>
        <v>1.4968535999999999</v>
      </c>
      <c r="H122" s="32">
        <v>15.65</v>
      </c>
      <c r="I122" s="25">
        <v>7.1</v>
      </c>
      <c r="J122" s="25">
        <v>6.8</v>
      </c>
      <c r="K122" s="25">
        <v>2.1800000000000002</v>
      </c>
      <c r="L122" s="25">
        <v>8.4000000000000005E-2</v>
      </c>
      <c r="M122" s="33">
        <v>4.3999999999999997E-2</v>
      </c>
      <c r="N122" s="24">
        <f t="shared" si="4"/>
        <v>7.0987147999999998</v>
      </c>
      <c r="O122" s="40"/>
      <c r="P122" s="24">
        <f t="shared" si="5"/>
        <v>3.0844255999999999</v>
      </c>
      <c r="Q122" s="24">
        <f t="shared" si="5"/>
        <v>0.98883056000000003</v>
      </c>
      <c r="R122" s="24">
        <f t="shared" si="5"/>
        <v>3.8101728000000001E-2</v>
      </c>
      <c r="S122" s="24">
        <f t="shared" si="3"/>
        <v>1.9958047999999999E-2</v>
      </c>
      <c r="T122" s="1">
        <v>20.7</v>
      </c>
      <c r="V122" s="1">
        <v>75.400000000000006</v>
      </c>
      <c r="W122" s="1">
        <v>0.84</v>
      </c>
      <c r="X122" s="1">
        <v>0.56000000000000005</v>
      </c>
      <c r="Y122" s="1">
        <v>10.5</v>
      </c>
      <c r="Z122" s="1">
        <v>0.41</v>
      </c>
      <c r="AA122" s="6">
        <v>0.21</v>
      </c>
    </row>
    <row r="123" spans="1:27">
      <c r="A123" s="3"/>
      <c r="D123" s="15">
        <v>1000</v>
      </c>
      <c r="E123" s="1">
        <f>D123*$I$2</f>
        <v>453.59199999999998</v>
      </c>
      <c r="F123" s="25">
        <v>3.3</v>
      </c>
      <c r="G123" s="25">
        <f t="shared" si="6"/>
        <v>1.4968535999999999</v>
      </c>
      <c r="H123" s="32">
        <v>16.940000000000001</v>
      </c>
      <c r="I123" s="25">
        <v>7.7</v>
      </c>
      <c r="J123" s="25">
        <v>7.4</v>
      </c>
      <c r="K123" s="25">
        <v>2.17</v>
      </c>
      <c r="L123" s="25">
        <v>8.2000000000000003E-2</v>
      </c>
      <c r="M123" s="33">
        <v>4.3999999999999997E-2</v>
      </c>
      <c r="N123" s="24">
        <f t="shared" si="4"/>
        <v>7.6838484800000009</v>
      </c>
      <c r="O123" s="40"/>
      <c r="P123" s="24">
        <f t="shared" si="5"/>
        <v>3.3565808000000001</v>
      </c>
      <c r="Q123" s="24">
        <f t="shared" si="5"/>
        <v>0.98429464</v>
      </c>
      <c r="R123" s="24">
        <f t="shared" si="5"/>
        <v>3.7194544000000003E-2</v>
      </c>
      <c r="S123" s="24">
        <f t="shared" si="3"/>
        <v>1.9958047999999999E-2</v>
      </c>
      <c r="T123" s="1">
        <v>22.4</v>
      </c>
      <c r="V123" s="1">
        <v>75.5</v>
      </c>
      <c r="W123" s="1">
        <v>0.84</v>
      </c>
      <c r="X123" s="1">
        <v>0.56000000000000005</v>
      </c>
      <c r="Y123" s="1">
        <v>9.6999999999999993</v>
      </c>
      <c r="Z123" s="1">
        <v>0.37</v>
      </c>
      <c r="AA123" s="6">
        <v>0.2</v>
      </c>
    </row>
    <row r="124" spans="1:27">
      <c r="A124" s="13"/>
      <c r="B124" s="8"/>
      <c r="C124" s="8"/>
      <c r="D124" s="16">
        <v>1100</v>
      </c>
      <c r="E124" s="1">
        <f>D124*$I$2</f>
        <v>498.95119999999997</v>
      </c>
      <c r="F124" s="25">
        <v>3.3</v>
      </c>
      <c r="G124" s="25">
        <f t="shared" si="6"/>
        <v>1.4968535999999999</v>
      </c>
      <c r="H124" s="34">
        <v>18.21</v>
      </c>
      <c r="I124" s="35">
        <v>8.3000000000000007</v>
      </c>
      <c r="J124" s="35">
        <v>8</v>
      </c>
      <c r="K124" s="35">
        <v>2.17</v>
      </c>
      <c r="L124" s="35">
        <v>0.08</v>
      </c>
      <c r="M124" s="36">
        <v>4.3999999999999997E-2</v>
      </c>
      <c r="N124" s="24">
        <f t="shared" si="4"/>
        <v>8.2599103199999995</v>
      </c>
      <c r="O124" s="40"/>
      <c r="P124" s="24">
        <f t="shared" si="5"/>
        <v>3.628736</v>
      </c>
      <c r="Q124" s="24">
        <f t="shared" si="5"/>
        <v>0.98429464</v>
      </c>
      <c r="R124" s="24">
        <f t="shared" si="5"/>
        <v>3.6287359999999998E-2</v>
      </c>
      <c r="S124" s="24">
        <f t="shared" si="3"/>
        <v>1.9958047999999999E-2</v>
      </c>
      <c r="T124" s="8">
        <v>24.1</v>
      </c>
      <c r="U124" s="8"/>
      <c r="V124" s="8">
        <v>75.599999999999994</v>
      </c>
      <c r="W124" s="8">
        <v>0.85</v>
      </c>
      <c r="X124" s="8">
        <v>0.56000000000000005</v>
      </c>
      <c r="Y124" s="8">
        <v>9</v>
      </c>
      <c r="Z124" s="8">
        <v>0.33</v>
      </c>
      <c r="AA124" s="9">
        <v>0.18</v>
      </c>
    </row>
    <row r="125" spans="1:27">
      <c r="E125" s="1">
        <f>D125*$I$2</f>
        <v>0</v>
      </c>
      <c r="G125" s="25">
        <f t="shared" si="6"/>
        <v>0</v>
      </c>
      <c r="N125" s="24">
        <f t="shared" si="4"/>
        <v>0</v>
      </c>
      <c r="O125" s="40"/>
      <c r="P125" s="24">
        <f t="shared" si="5"/>
        <v>0</v>
      </c>
      <c r="Q125" s="24">
        <f t="shared" si="5"/>
        <v>0</v>
      </c>
      <c r="R125" s="24">
        <f t="shared" si="5"/>
        <v>0</v>
      </c>
      <c r="S125" s="24">
        <f t="shared" si="3"/>
        <v>0</v>
      </c>
    </row>
    <row r="126" spans="1:27">
      <c r="A126" s="11"/>
      <c r="B126" s="10"/>
      <c r="C126" s="10"/>
      <c r="D126" s="10"/>
      <c r="E126" s="1">
        <f>D126*$I$2</f>
        <v>0</v>
      </c>
      <c r="F126" s="37"/>
      <c r="G126" s="25">
        <f t="shared" si="6"/>
        <v>0</v>
      </c>
      <c r="H126" s="26" t="s">
        <v>10</v>
      </c>
      <c r="I126" s="27"/>
      <c r="J126" s="27"/>
      <c r="K126" s="27"/>
      <c r="L126" s="27"/>
      <c r="M126" s="28"/>
      <c r="N126" s="24" t="e">
        <f t="shared" si="4"/>
        <v>#VALUE!</v>
      </c>
      <c r="O126" s="40"/>
      <c r="P126" s="24">
        <f t="shared" si="5"/>
        <v>0</v>
      </c>
      <c r="Q126" s="24">
        <f t="shared" si="5"/>
        <v>0</v>
      </c>
      <c r="R126" s="24">
        <f t="shared" si="5"/>
        <v>0</v>
      </c>
      <c r="S126" s="24">
        <f t="shared" si="3"/>
        <v>0</v>
      </c>
      <c r="T126" s="21" t="s">
        <v>21</v>
      </c>
      <c r="U126" s="21"/>
      <c r="V126" s="21"/>
      <c r="W126" s="21"/>
      <c r="X126" s="21"/>
      <c r="Y126" s="21"/>
      <c r="Z126" s="21"/>
      <c r="AA126" s="22"/>
    </row>
    <row r="127" spans="1:27" ht="26">
      <c r="A127" s="12" t="s">
        <v>42</v>
      </c>
      <c r="B127" s="2" t="s">
        <v>27</v>
      </c>
      <c r="C127" s="2"/>
      <c r="D127" s="2" t="s">
        <v>31</v>
      </c>
      <c r="E127" s="1" t="e">
        <f>D127*$I$2</f>
        <v>#VALUE!</v>
      </c>
      <c r="F127" s="30" t="s">
        <v>30</v>
      </c>
      <c r="G127" s="25" t="e">
        <f t="shared" si="6"/>
        <v>#VALUE!</v>
      </c>
      <c r="H127" s="29" t="s">
        <v>11</v>
      </c>
      <c r="I127" s="30" t="s">
        <v>23</v>
      </c>
      <c r="J127" s="30" t="s">
        <v>24</v>
      </c>
      <c r="K127" s="30" t="s">
        <v>12</v>
      </c>
      <c r="L127" s="30" t="s">
        <v>13</v>
      </c>
      <c r="M127" s="31" t="s">
        <v>14</v>
      </c>
      <c r="N127" s="24" t="e">
        <f t="shared" si="4"/>
        <v>#VALUE!</v>
      </c>
      <c r="O127" s="40"/>
      <c r="P127" s="24" t="e">
        <f t="shared" si="5"/>
        <v>#VALUE!</v>
      </c>
      <c r="Q127" s="24" t="e">
        <f t="shared" si="5"/>
        <v>#VALUE!</v>
      </c>
      <c r="R127" s="24" t="e">
        <f t="shared" si="5"/>
        <v>#VALUE!</v>
      </c>
      <c r="S127" s="24" t="e">
        <f t="shared" si="3"/>
        <v>#VALUE!</v>
      </c>
      <c r="T127" s="3" t="s">
        <v>15</v>
      </c>
      <c r="U127" s="23"/>
      <c r="V127" s="2" t="s">
        <v>16</v>
      </c>
      <c r="W127" s="2" t="s">
        <v>17</v>
      </c>
      <c r="X127" s="2" t="s">
        <v>24</v>
      </c>
      <c r="Y127" s="2" t="s">
        <v>18</v>
      </c>
      <c r="Z127" s="2" t="s">
        <v>19</v>
      </c>
      <c r="AA127" s="4" t="s">
        <v>20</v>
      </c>
    </row>
    <row r="128" spans="1:27">
      <c r="A128" s="3"/>
      <c r="B128" s="1">
        <v>2200</v>
      </c>
      <c r="C128" s="1">
        <f>B128*I2</f>
        <v>997.90239999999994</v>
      </c>
      <c r="D128" s="1">
        <v>500</v>
      </c>
      <c r="E128" s="1">
        <f>D128*$I$2</f>
        <v>226.79599999999999</v>
      </c>
      <c r="F128" s="25">
        <v>1</v>
      </c>
      <c r="G128" s="25">
        <f t="shared" si="6"/>
        <v>0.453592</v>
      </c>
      <c r="H128" s="32">
        <v>6.73</v>
      </c>
      <c r="I128" s="25">
        <v>5.3</v>
      </c>
      <c r="J128" s="25">
        <v>0.8</v>
      </c>
      <c r="K128" s="25">
        <v>1.1499999999999999</v>
      </c>
      <c r="L128" s="25">
        <v>4.3999999999999997E-2</v>
      </c>
      <c r="M128" s="33">
        <v>2.3E-2</v>
      </c>
      <c r="N128" s="24">
        <f t="shared" si="4"/>
        <v>3.05267416</v>
      </c>
      <c r="O128" s="40"/>
      <c r="P128" s="24">
        <f t="shared" si="5"/>
        <v>0.36287360000000002</v>
      </c>
      <c r="Q128" s="24">
        <f t="shared" si="5"/>
        <v>0.52163079999999995</v>
      </c>
      <c r="R128" s="24">
        <f t="shared" si="5"/>
        <v>1.9958047999999999E-2</v>
      </c>
      <c r="S128" s="24">
        <f t="shared" si="3"/>
        <v>1.0432616E-2</v>
      </c>
      <c r="T128" s="1">
        <v>11.3</v>
      </c>
      <c r="V128" s="1">
        <v>59.6</v>
      </c>
      <c r="W128" s="1">
        <v>0.59</v>
      </c>
      <c r="X128" s="1">
        <v>0.33</v>
      </c>
      <c r="Y128" s="1">
        <v>10.199999999999999</v>
      </c>
      <c r="Z128" s="1">
        <v>0.39</v>
      </c>
      <c r="AA128" s="6">
        <v>0.21</v>
      </c>
    </row>
    <row r="129" spans="1:27">
      <c r="A129" s="3"/>
      <c r="D129" s="1">
        <v>600</v>
      </c>
      <c r="E129" s="1">
        <f>D129*$I$2</f>
        <v>272.15519999999998</v>
      </c>
      <c r="F129" s="25">
        <v>1</v>
      </c>
      <c r="G129" s="25">
        <f t="shared" si="6"/>
        <v>0.453592</v>
      </c>
      <c r="H129" s="32">
        <v>7.73</v>
      </c>
      <c r="I129" s="25">
        <v>6.1</v>
      </c>
      <c r="J129" s="25">
        <v>0.8</v>
      </c>
      <c r="K129" s="25">
        <v>1.24</v>
      </c>
      <c r="L129" s="25">
        <v>4.5999999999999999E-2</v>
      </c>
      <c r="M129" s="33">
        <v>2.5000000000000001E-2</v>
      </c>
      <c r="N129" s="24">
        <f t="shared" si="4"/>
        <v>3.50626616</v>
      </c>
      <c r="O129" s="40"/>
      <c r="P129" s="24">
        <f t="shared" si="5"/>
        <v>0.36287360000000002</v>
      </c>
      <c r="Q129" s="24">
        <f t="shared" si="5"/>
        <v>0.56245407999999997</v>
      </c>
      <c r="R129" s="24">
        <f t="shared" si="5"/>
        <v>2.0865232000000001E-2</v>
      </c>
      <c r="S129" s="24">
        <f t="shared" si="3"/>
        <v>1.1339800000000001E-2</v>
      </c>
      <c r="T129" s="1">
        <v>12.9</v>
      </c>
      <c r="V129" s="1">
        <v>59.7</v>
      </c>
      <c r="W129" s="1">
        <v>0.59</v>
      </c>
      <c r="X129" s="1">
        <v>0.33</v>
      </c>
      <c r="Y129" s="1">
        <v>9.5</v>
      </c>
      <c r="Z129" s="1">
        <v>0.36</v>
      </c>
      <c r="AA129" s="6">
        <v>0.19</v>
      </c>
    </row>
    <row r="130" spans="1:27">
      <c r="A130" s="3"/>
      <c r="D130" s="1">
        <v>700</v>
      </c>
      <c r="E130" s="1">
        <f>D130*$I$2</f>
        <v>317.51440000000002</v>
      </c>
      <c r="F130" s="25">
        <v>1</v>
      </c>
      <c r="G130" s="25">
        <f t="shared" si="6"/>
        <v>0.453592</v>
      </c>
      <c r="H130" s="32">
        <v>8.65</v>
      </c>
      <c r="I130" s="25">
        <v>6.8</v>
      </c>
      <c r="J130" s="25">
        <v>1</v>
      </c>
      <c r="K130" s="25">
        <v>1.32</v>
      </c>
      <c r="L130" s="25">
        <v>4.8000000000000001E-2</v>
      </c>
      <c r="M130" s="33">
        <v>2.7E-2</v>
      </c>
      <c r="N130" s="24">
        <f t="shared" si="4"/>
        <v>3.9235708000000002</v>
      </c>
      <c r="O130" s="40"/>
      <c r="P130" s="24">
        <f t="shared" si="5"/>
        <v>0.453592</v>
      </c>
      <c r="Q130" s="24">
        <f t="shared" si="5"/>
        <v>0.59874144000000007</v>
      </c>
      <c r="R130" s="24">
        <f t="shared" si="5"/>
        <v>2.1772415999999999E-2</v>
      </c>
      <c r="S130" s="24">
        <f t="shared" si="3"/>
        <v>1.2246983999999999E-2</v>
      </c>
      <c r="T130" s="1">
        <v>14.5</v>
      </c>
      <c r="V130" s="1">
        <v>59.6</v>
      </c>
      <c r="W130" s="1">
        <v>0.59</v>
      </c>
      <c r="X130" s="1">
        <v>0.33</v>
      </c>
      <c r="Y130" s="1">
        <v>9.1</v>
      </c>
      <c r="Z130" s="1">
        <v>0.33</v>
      </c>
      <c r="AA130" s="6">
        <v>0.19</v>
      </c>
    </row>
    <row r="131" spans="1:27">
      <c r="A131" s="3"/>
      <c r="D131" s="1">
        <v>800</v>
      </c>
      <c r="E131" s="1">
        <f>D131*$I$2</f>
        <v>362.87360000000001</v>
      </c>
      <c r="F131" s="25">
        <v>1</v>
      </c>
      <c r="G131" s="25">
        <f t="shared" si="6"/>
        <v>0.453592</v>
      </c>
      <c r="H131" s="32">
        <v>9.5500000000000007</v>
      </c>
      <c r="I131" s="25">
        <v>7.5</v>
      </c>
      <c r="J131" s="25">
        <v>1.1000000000000001</v>
      </c>
      <c r="K131" s="25">
        <v>1.4</v>
      </c>
      <c r="L131" s="25">
        <v>0.05</v>
      </c>
      <c r="M131" s="33">
        <v>2.9000000000000001E-2</v>
      </c>
      <c r="N131" s="24">
        <f t="shared" si="4"/>
        <v>4.3318036000000006</v>
      </c>
      <c r="O131" s="40"/>
      <c r="P131" s="24">
        <f t="shared" si="5"/>
        <v>0.49895120000000004</v>
      </c>
      <c r="Q131" s="24">
        <f t="shared" si="5"/>
        <v>0.63502879999999995</v>
      </c>
      <c r="R131" s="24">
        <f t="shared" si="5"/>
        <v>2.2679600000000001E-2</v>
      </c>
      <c r="S131" s="24">
        <f t="shared" si="3"/>
        <v>1.3154168000000001E-2</v>
      </c>
      <c r="T131" s="1">
        <v>16</v>
      </c>
      <c r="V131" s="1">
        <v>59.5</v>
      </c>
      <c r="W131" s="1">
        <v>0.59</v>
      </c>
      <c r="X131" s="1">
        <v>0.33</v>
      </c>
      <c r="Y131" s="1">
        <v>8.6999999999999993</v>
      </c>
      <c r="Z131" s="1">
        <v>0.31</v>
      </c>
      <c r="AA131" s="6">
        <v>0.18</v>
      </c>
    </row>
    <row r="132" spans="1:27">
      <c r="A132" s="3"/>
      <c r="D132" s="1">
        <v>900</v>
      </c>
      <c r="E132" s="1">
        <f>D132*$I$2</f>
        <v>408.2328</v>
      </c>
      <c r="F132" s="25">
        <v>1</v>
      </c>
      <c r="G132" s="25">
        <f t="shared" si="6"/>
        <v>0.453592</v>
      </c>
      <c r="H132" s="32">
        <v>10.43</v>
      </c>
      <c r="I132" s="25">
        <v>8.1999999999999993</v>
      </c>
      <c r="J132" s="25">
        <v>1.2</v>
      </c>
      <c r="K132" s="25">
        <v>1.48</v>
      </c>
      <c r="L132" s="25">
        <v>5.1999999999999998E-2</v>
      </c>
      <c r="M132" s="33">
        <v>3.1E-2</v>
      </c>
      <c r="N132" s="24">
        <f t="shared" si="4"/>
        <v>4.7309645599999994</v>
      </c>
      <c r="O132" s="40"/>
      <c r="P132" s="24">
        <f t="shared" si="5"/>
        <v>0.54431039999999997</v>
      </c>
      <c r="Q132" s="24">
        <f t="shared" si="5"/>
        <v>0.67131615999999994</v>
      </c>
      <c r="R132" s="24">
        <f t="shared" si="5"/>
        <v>2.3586784E-2</v>
      </c>
      <c r="S132" s="24">
        <f t="shared" si="3"/>
        <v>1.4061351999999999E-2</v>
      </c>
      <c r="T132" s="1">
        <v>17.5</v>
      </c>
      <c r="V132" s="1">
        <v>59.5</v>
      </c>
      <c r="W132" s="1">
        <v>0.59</v>
      </c>
      <c r="X132" s="1">
        <v>0.33</v>
      </c>
      <c r="Y132" s="1">
        <v>8.5</v>
      </c>
      <c r="Z132" s="1">
        <v>0.3</v>
      </c>
      <c r="AA132" s="6">
        <v>0.18</v>
      </c>
    </row>
    <row r="133" spans="1:27">
      <c r="A133" s="3"/>
      <c r="D133" s="1">
        <v>500</v>
      </c>
      <c r="E133" s="1">
        <f>D133*$I$2</f>
        <v>226.79599999999999</v>
      </c>
      <c r="F133" s="25">
        <v>1.5</v>
      </c>
      <c r="G133" s="25">
        <f t="shared" si="6"/>
        <v>0.68038799999999999</v>
      </c>
      <c r="H133" s="32">
        <v>7.2</v>
      </c>
      <c r="I133" s="25">
        <v>5.3</v>
      </c>
      <c r="J133" s="25">
        <v>1.2</v>
      </c>
      <c r="K133" s="25">
        <v>1.36</v>
      </c>
      <c r="L133" s="25">
        <v>5.8999999999999997E-2</v>
      </c>
      <c r="M133" s="33">
        <v>2.9000000000000001E-2</v>
      </c>
      <c r="N133" s="24">
        <f t="shared" si="4"/>
        <v>3.2658624000000001</v>
      </c>
      <c r="O133" s="40"/>
      <c r="P133" s="24">
        <f t="shared" si="5"/>
        <v>0.54431039999999997</v>
      </c>
      <c r="Q133" s="24">
        <f t="shared" si="5"/>
        <v>0.61688512000000006</v>
      </c>
      <c r="R133" s="24">
        <f t="shared" si="5"/>
        <v>2.6761927999999997E-2</v>
      </c>
      <c r="S133" s="24">
        <f t="shared" si="3"/>
        <v>1.3154168000000001E-2</v>
      </c>
      <c r="T133" s="1">
        <v>11.5</v>
      </c>
      <c r="V133" s="1">
        <v>62.8</v>
      </c>
      <c r="W133" s="1">
        <v>0.64</v>
      </c>
      <c r="X133" s="1">
        <v>0.37</v>
      </c>
      <c r="Y133" s="1">
        <v>11.9</v>
      </c>
      <c r="Z133" s="1">
        <v>0.51</v>
      </c>
      <c r="AA133" s="6">
        <v>0.25</v>
      </c>
    </row>
    <row r="134" spans="1:27">
      <c r="A134" s="3"/>
      <c r="D134" s="1">
        <v>600</v>
      </c>
      <c r="E134" s="1">
        <f>D134*$I$2</f>
        <v>272.15519999999998</v>
      </c>
      <c r="F134" s="25">
        <v>1.5</v>
      </c>
      <c r="G134" s="25">
        <f t="shared" si="6"/>
        <v>0.68038799999999999</v>
      </c>
      <c r="H134" s="32">
        <v>8.27</v>
      </c>
      <c r="I134" s="25">
        <v>6.1</v>
      </c>
      <c r="J134" s="25">
        <v>1.4</v>
      </c>
      <c r="K134" s="25">
        <v>1.44</v>
      </c>
      <c r="L134" s="25">
        <v>0.06</v>
      </c>
      <c r="M134" s="33">
        <v>3.1E-2</v>
      </c>
      <c r="N134" s="24">
        <f t="shared" si="4"/>
        <v>3.7512058399999999</v>
      </c>
      <c r="O134" s="40"/>
      <c r="P134" s="24">
        <f t="shared" si="5"/>
        <v>0.63502879999999995</v>
      </c>
      <c r="Q134" s="24">
        <f t="shared" si="5"/>
        <v>0.65317247999999994</v>
      </c>
      <c r="R134" s="24">
        <f t="shared" si="5"/>
        <v>2.721552E-2</v>
      </c>
      <c r="S134" s="24">
        <f t="shared" si="5"/>
        <v>1.4061351999999999E-2</v>
      </c>
      <c r="T134" s="1">
        <v>13.2</v>
      </c>
      <c r="V134" s="1">
        <v>62.9</v>
      </c>
      <c r="W134" s="1">
        <v>0.64</v>
      </c>
      <c r="X134" s="1">
        <v>0.37</v>
      </c>
      <c r="Y134" s="1">
        <v>10.9</v>
      </c>
      <c r="Z134" s="1">
        <v>0.46</v>
      </c>
      <c r="AA134" s="6">
        <v>0.23</v>
      </c>
    </row>
    <row r="135" spans="1:27">
      <c r="A135" s="3"/>
      <c r="D135" s="1">
        <v>700</v>
      </c>
      <c r="E135" s="1">
        <f>D135*$I$2</f>
        <v>317.51440000000002</v>
      </c>
      <c r="F135" s="25">
        <v>1.5</v>
      </c>
      <c r="G135" s="25">
        <f t="shared" si="6"/>
        <v>0.68038799999999999</v>
      </c>
      <c r="H135" s="32">
        <v>9.26</v>
      </c>
      <c r="I135" s="25">
        <v>6.8</v>
      </c>
      <c r="J135" s="25">
        <v>1.5</v>
      </c>
      <c r="K135" s="25">
        <v>1.52</v>
      </c>
      <c r="L135" s="25">
        <v>6.2E-2</v>
      </c>
      <c r="M135" s="33">
        <v>3.2000000000000001E-2</v>
      </c>
      <c r="N135" s="24">
        <f t="shared" ref="N135:N198" si="7">H135*$I$2</f>
        <v>4.20026192</v>
      </c>
      <c r="O135" s="40"/>
      <c r="P135" s="24">
        <f t="shared" ref="P135:S198" si="8">J135*$I$2</f>
        <v>0.68038799999999999</v>
      </c>
      <c r="Q135" s="24">
        <f t="shared" si="8"/>
        <v>0.68945984000000005</v>
      </c>
      <c r="R135" s="24">
        <f t="shared" si="8"/>
        <v>2.8122703999999998E-2</v>
      </c>
      <c r="S135" s="24">
        <f t="shared" si="8"/>
        <v>1.4514944E-2</v>
      </c>
      <c r="T135" s="1">
        <v>14.8</v>
      </c>
      <c r="V135" s="1">
        <v>62.7</v>
      </c>
      <c r="W135" s="1">
        <v>0.64</v>
      </c>
      <c r="X135" s="1">
        <v>0.37</v>
      </c>
      <c r="Y135" s="1">
        <v>10.3</v>
      </c>
      <c r="Z135" s="1">
        <v>0.42</v>
      </c>
      <c r="AA135" s="6">
        <v>0.22</v>
      </c>
    </row>
    <row r="136" spans="1:27">
      <c r="A136" s="3"/>
      <c r="D136" s="1">
        <v>800</v>
      </c>
      <c r="E136" s="1">
        <f>D136*$I$2</f>
        <v>362.87360000000001</v>
      </c>
      <c r="F136" s="25">
        <v>1.5</v>
      </c>
      <c r="G136" s="25">
        <f t="shared" si="6"/>
        <v>0.68038799999999999</v>
      </c>
      <c r="H136" s="32">
        <v>10.23</v>
      </c>
      <c r="I136" s="25">
        <v>7.5</v>
      </c>
      <c r="J136" s="25">
        <v>1.7</v>
      </c>
      <c r="K136" s="25">
        <v>1.59</v>
      </c>
      <c r="L136" s="25">
        <v>6.3E-2</v>
      </c>
      <c r="M136" s="33">
        <v>3.4000000000000002E-2</v>
      </c>
      <c r="N136" s="24">
        <f t="shared" si="7"/>
        <v>4.6402461600000002</v>
      </c>
      <c r="O136" s="40"/>
      <c r="P136" s="24">
        <f t="shared" si="8"/>
        <v>0.77110639999999997</v>
      </c>
      <c r="Q136" s="24">
        <f t="shared" si="8"/>
        <v>0.72121128000000001</v>
      </c>
      <c r="R136" s="24">
        <f t="shared" si="8"/>
        <v>2.8576296000000001E-2</v>
      </c>
      <c r="S136" s="24">
        <f t="shared" si="8"/>
        <v>1.5422128E-2</v>
      </c>
      <c r="T136" s="1">
        <v>16.3</v>
      </c>
      <c r="V136" s="1">
        <v>62.7</v>
      </c>
      <c r="W136" s="1">
        <v>0.64</v>
      </c>
      <c r="X136" s="1">
        <v>0.37</v>
      </c>
      <c r="Y136" s="1">
        <v>9.8000000000000007</v>
      </c>
      <c r="Z136" s="1">
        <v>0.39</v>
      </c>
      <c r="AA136" s="6">
        <v>0.21</v>
      </c>
    </row>
    <row r="137" spans="1:27">
      <c r="A137" s="3"/>
      <c r="D137" s="1">
        <v>900</v>
      </c>
      <c r="E137" s="1">
        <f>D137*$I$2</f>
        <v>408.2328</v>
      </c>
      <c r="F137" s="25">
        <v>1.5</v>
      </c>
      <c r="G137" s="25">
        <f t="shared" si="6"/>
        <v>0.68038799999999999</v>
      </c>
      <c r="H137" s="32">
        <v>11.17</v>
      </c>
      <c r="I137" s="25">
        <v>8.1999999999999993</v>
      </c>
      <c r="J137" s="25">
        <v>1.8</v>
      </c>
      <c r="K137" s="25">
        <v>1.66</v>
      </c>
      <c r="L137" s="25">
        <v>6.5000000000000002E-2</v>
      </c>
      <c r="M137" s="33">
        <v>3.5999999999999997E-2</v>
      </c>
      <c r="N137" s="24">
        <f t="shared" si="7"/>
        <v>5.0666226400000003</v>
      </c>
      <c r="O137" s="40"/>
      <c r="P137" s="24">
        <f t="shared" si="8"/>
        <v>0.81646560000000001</v>
      </c>
      <c r="Q137" s="24">
        <f t="shared" si="8"/>
        <v>0.75296271999999997</v>
      </c>
      <c r="R137" s="24">
        <f t="shared" si="8"/>
        <v>2.9483479999999999E-2</v>
      </c>
      <c r="S137" s="24">
        <f t="shared" si="8"/>
        <v>1.6329311999999999E-2</v>
      </c>
      <c r="T137" s="1">
        <v>17.8</v>
      </c>
      <c r="V137" s="1">
        <v>62.7</v>
      </c>
      <c r="W137" s="1">
        <v>0.64</v>
      </c>
      <c r="X137" s="1">
        <v>0.37</v>
      </c>
      <c r="Y137" s="1">
        <v>9.3000000000000007</v>
      </c>
      <c r="Z137" s="1">
        <v>0.36</v>
      </c>
      <c r="AA137" s="6">
        <v>0.2</v>
      </c>
    </row>
    <row r="138" spans="1:27">
      <c r="A138" s="3"/>
      <c r="D138" s="1">
        <v>500</v>
      </c>
      <c r="E138" s="1">
        <f>D138*$I$2</f>
        <v>226.79599999999999</v>
      </c>
      <c r="F138" s="25">
        <v>2</v>
      </c>
      <c r="G138" s="25">
        <f t="shared" si="6"/>
        <v>0.90718399999999999</v>
      </c>
      <c r="H138" s="32">
        <v>7.66</v>
      </c>
      <c r="I138" s="25">
        <v>5.3</v>
      </c>
      <c r="J138" s="25">
        <v>1.6</v>
      </c>
      <c r="K138" s="25">
        <v>1.57</v>
      </c>
      <c r="L138" s="25">
        <v>7.2999999999999995E-2</v>
      </c>
      <c r="M138" s="33">
        <v>3.5000000000000003E-2</v>
      </c>
      <c r="N138" s="24">
        <f t="shared" si="7"/>
        <v>3.4745147200000002</v>
      </c>
      <c r="O138" s="40"/>
      <c r="P138" s="24">
        <f t="shared" si="8"/>
        <v>0.72574720000000004</v>
      </c>
      <c r="Q138" s="24">
        <f t="shared" si="8"/>
        <v>0.71213944000000007</v>
      </c>
      <c r="R138" s="24">
        <f t="shared" si="8"/>
        <v>3.3112216E-2</v>
      </c>
      <c r="S138" s="24">
        <f t="shared" si="8"/>
        <v>1.5875720000000003E-2</v>
      </c>
      <c r="T138" s="1">
        <v>11.6</v>
      </c>
      <c r="V138" s="1">
        <v>66.3</v>
      </c>
      <c r="W138" s="1">
        <v>0.69</v>
      </c>
      <c r="X138" s="1">
        <v>0.42</v>
      </c>
      <c r="Y138" s="1">
        <v>13.6</v>
      </c>
      <c r="Z138" s="1">
        <v>0.63</v>
      </c>
      <c r="AA138" s="6">
        <v>0.3</v>
      </c>
    </row>
    <row r="139" spans="1:27">
      <c r="A139" s="3"/>
      <c r="D139" s="1">
        <v>600</v>
      </c>
      <c r="E139" s="1">
        <f>D139*$I$2</f>
        <v>272.15519999999998</v>
      </c>
      <c r="F139" s="25">
        <v>2</v>
      </c>
      <c r="G139" s="25">
        <f t="shared" si="6"/>
        <v>0.90718399999999999</v>
      </c>
      <c r="H139" s="32">
        <v>8.8000000000000007</v>
      </c>
      <c r="I139" s="25">
        <v>6.1</v>
      </c>
      <c r="J139" s="25">
        <v>1.9</v>
      </c>
      <c r="K139" s="25">
        <v>1.64</v>
      </c>
      <c r="L139" s="25">
        <v>7.3999999999999996E-2</v>
      </c>
      <c r="M139" s="33">
        <v>3.5999999999999997E-2</v>
      </c>
      <c r="N139" s="24">
        <f t="shared" si="7"/>
        <v>3.9916096000000003</v>
      </c>
      <c r="O139" s="40"/>
      <c r="P139" s="24">
        <f t="shared" si="8"/>
        <v>0.86182479999999995</v>
      </c>
      <c r="Q139" s="24">
        <f t="shared" si="8"/>
        <v>0.74389087999999992</v>
      </c>
      <c r="R139" s="24">
        <f t="shared" si="8"/>
        <v>3.3565807999999996E-2</v>
      </c>
      <c r="S139" s="24">
        <f t="shared" si="8"/>
        <v>1.6329311999999999E-2</v>
      </c>
      <c r="T139" s="1">
        <v>13.3</v>
      </c>
      <c r="V139" s="1">
        <v>66.400000000000006</v>
      </c>
      <c r="W139" s="1">
        <v>0.69</v>
      </c>
      <c r="X139" s="1">
        <v>0.42</v>
      </c>
      <c r="Y139" s="1">
        <v>12.4</v>
      </c>
      <c r="Z139" s="1">
        <v>0.56000000000000005</v>
      </c>
      <c r="AA139" s="6">
        <v>0.27</v>
      </c>
    </row>
    <row r="140" spans="1:27">
      <c r="A140" s="3"/>
      <c r="D140" s="1">
        <v>700</v>
      </c>
      <c r="E140" s="1">
        <f>D140*$I$2</f>
        <v>317.51440000000002</v>
      </c>
      <c r="F140" s="25">
        <v>2</v>
      </c>
      <c r="G140" s="25">
        <f t="shared" si="6"/>
        <v>0.90718399999999999</v>
      </c>
      <c r="H140" s="32">
        <v>9.84</v>
      </c>
      <c r="I140" s="25">
        <v>6.8</v>
      </c>
      <c r="J140" s="25">
        <v>2.1</v>
      </c>
      <c r="K140" s="25">
        <v>1.71</v>
      </c>
      <c r="L140" s="25">
        <v>7.4999999999999997E-2</v>
      </c>
      <c r="M140" s="33">
        <v>3.7999999999999999E-2</v>
      </c>
      <c r="N140" s="24">
        <f t="shared" si="7"/>
        <v>4.4633452799999995</v>
      </c>
      <c r="O140" s="40"/>
      <c r="P140" s="24">
        <f t="shared" si="8"/>
        <v>0.95254320000000003</v>
      </c>
      <c r="Q140" s="24">
        <f t="shared" si="8"/>
        <v>0.77564232</v>
      </c>
      <c r="R140" s="24">
        <f t="shared" si="8"/>
        <v>3.4019399999999998E-2</v>
      </c>
      <c r="S140" s="24">
        <f t="shared" si="8"/>
        <v>1.7236496E-2</v>
      </c>
      <c r="T140" s="1">
        <v>14.9</v>
      </c>
      <c r="V140" s="1">
        <v>66.2</v>
      </c>
      <c r="W140" s="1">
        <v>0.69</v>
      </c>
      <c r="X140" s="1">
        <v>0.42</v>
      </c>
      <c r="Y140" s="1">
        <v>11.5</v>
      </c>
      <c r="Z140" s="1">
        <v>0.5</v>
      </c>
      <c r="AA140" s="6">
        <v>0.25</v>
      </c>
    </row>
    <row r="141" spans="1:27">
      <c r="A141" s="3"/>
      <c r="D141" s="1">
        <v>800</v>
      </c>
      <c r="E141" s="1">
        <f>D141*$I$2</f>
        <v>362.87360000000001</v>
      </c>
      <c r="F141" s="25">
        <v>2</v>
      </c>
      <c r="G141" s="25">
        <f t="shared" si="6"/>
        <v>0.90718399999999999</v>
      </c>
      <c r="H141" s="32">
        <v>10.87</v>
      </c>
      <c r="I141" s="25">
        <v>7.5</v>
      </c>
      <c r="J141" s="25">
        <v>2.2999999999999998</v>
      </c>
      <c r="K141" s="25">
        <v>1.78</v>
      </c>
      <c r="L141" s="25">
        <v>7.5999999999999998E-2</v>
      </c>
      <c r="M141" s="33">
        <v>3.9E-2</v>
      </c>
      <c r="N141" s="24">
        <f t="shared" si="7"/>
        <v>4.9305450399999993</v>
      </c>
      <c r="O141" s="40"/>
      <c r="P141" s="24">
        <f t="shared" si="8"/>
        <v>1.0432615999999999</v>
      </c>
      <c r="Q141" s="24">
        <f t="shared" si="8"/>
        <v>0.80739375999999996</v>
      </c>
      <c r="R141" s="24">
        <f t="shared" si="8"/>
        <v>3.4472992000000001E-2</v>
      </c>
      <c r="S141" s="24">
        <f t="shared" si="8"/>
        <v>1.7690088E-2</v>
      </c>
      <c r="T141" s="1">
        <v>16.399999999999999</v>
      </c>
      <c r="V141" s="1">
        <v>66.099999999999994</v>
      </c>
      <c r="W141" s="1">
        <v>0.69</v>
      </c>
      <c r="X141" s="1">
        <v>0.42</v>
      </c>
      <c r="Y141" s="1">
        <v>10.8</v>
      </c>
      <c r="Z141" s="1">
        <v>0.46</v>
      </c>
      <c r="AA141" s="6">
        <v>0.24</v>
      </c>
    </row>
    <row r="142" spans="1:27">
      <c r="A142" s="3"/>
      <c r="D142" s="1">
        <v>900</v>
      </c>
      <c r="E142" s="1">
        <f>D142*$I$2</f>
        <v>408.2328</v>
      </c>
      <c r="F142" s="25">
        <v>2</v>
      </c>
      <c r="G142" s="25">
        <f t="shared" si="6"/>
        <v>0.90718399999999999</v>
      </c>
      <c r="H142" s="32">
        <v>11.88</v>
      </c>
      <c r="I142" s="25">
        <v>8.1999999999999993</v>
      </c>
      <c r="J142" s="25">
        <v>2.6</v>
      </c>
      <c r="K142" s="25">
        <v>1.84</v>
      </c>
      <c r="L142" s="25">
        <v>7.6999999999999999E-2</v>
      </c>
      <c r="M142" s="33">
        <v>4.1000000000000002E-2</v>
      </c>
      <c r="N142" s="24">
        <f t="shared" si="7"/>
        <v>5.3886729600000001</v>
      </c>
      <c r="O142" s="40"/>
      <c r="P142" s="24">
        <f t="shared" si="8"/>
        <v>1.1793392</v>
      </c>
      <c r="Q142" s="24">
        <f t="shared" si="8"/>
        <v>0.83460928000000001</v>
      </c>
      <c r="R142" s="24">
        <f t="shared" si="8"/>
        <v>3.4926583999999997E-2</v>
      </c>
      <c r="S142" s="24">
        <f t="shared" si="8"/>
        <v>1.8597272000000001E-2</v>
      </c>
      <c r="T142" s="1">
        <v>18</v>
      </c>
      <c r="V142" s="1">
        <v>66.099999999999994</v>
      </c>
      <c r="W142" s="1">
        <v>0.69</v>
      </c>
      <c r="X142" s="1">
        <v>0.42</v>
      </c>
      <c r="Y142" s="1">
        <v>10.3</v>
      </c>
      <c r="Z142" s="1">
        <v>0.43</v>
      </c>
      <c r="AA142" s="6">
        <v>0.23</v>
      </c>
    </row>
    <row r="143" spans="1:27">
      <c r="A143" s="3"/>
      <c r="D143" s="1">
        <v>500</v>
      </c>
      <c r="E143" s="1">
        <f>D143*$I$2</f>
        <v>226.79599999999999</v>
      </c>
      <c r="F143" s="25">
        <v>2.5</v>
      </c>
      <c r="G143" s="25">
        <f t="shared" si="6"/>
        <v>1.13398</v>
      </c>
      <c r="H143" s="32">
        <v>8.09</v>
      </c>
      <c r="I143" s="25">
        <v>5.3</v>
      </c>
      <c r="J143" s="25">
        <v>2</v>
      </c>
      <c r="K143" s="25">
        <v>1.78</v>
      </c>
      <c r="L143" s="25">
        <v>8.6999999999999994E-2</v>
      </c>
      <c r="M143" s="33">
        <v>4.1000000000000002E-2</v>
      </c>
      <c r="N143" s="24">
        <f t="shared" si="7"/>
        <v>3.6695592800000001</v>
      </c>
      <c r="O143" s="40"/>
      <c r="P143" s="24">
        <f t="shared" si="8"/>
        <v>0.90718399999999999</v>
      </c>
      <c r="Q143" s="24">
        <f t="shared" si="8"/>
        <v>0.80739375999999996</v>
      </c>
      <c r="R143" s="24">
        <f t="shared" si="8"/>
        <v>3.9462503999999995E-2</v>
      </c>
      <c r="S143" s="24">
        <f t="shared" si="8"/>
        <v>1.8597272000000001E-2</v>
      </c>
      <c r="T143" s="1">
        <v>11.5</v>
      </c>
      <c r="V143" s="1">
        <v>70.099999999999994</v>
      </c>
      <c r="W143" s="1">
        <v>0.74</v>
      </c>
      <c r="X143" s="1">
        <v>0.47</v>
      </c>
      <c r="Y143" s="1">
        <v>15.4</v>
      </c>
      <c r="Z143" s="1">
        <v>0.76</v>
      </c>
      <c r="AA143" s="6">
        <v>0.35</v>
      </c>
    </row>
    <row r="144" spans="1:27">
      <c r="A144" s="3"/>
      <c r="D144" s="1">
        <v>600</v>
      </c>
      <c r="E144" s="1">
        <f>D144*$I$2</f>
        <v>272.15519999999998</v>
      </c>
      <c r="F144" s="25">
        <v>2.5</v>
      </c>
      <c r="G144" s="25">
        <f t="shared" si="6"/>
        <v>1.13398</v>
      </c>
      <c r="H144" s="32">
        <v>9.2899999999999991</v>
      </c>
      <c r="I144" s="25">
        <v>6.1</v>
      </c>
      <c r="J144" s="25">
        <v>2.4</v>
      </c>
      <c r="K144" s="25">
        <v>1.84</v>
      </c>
      <c r="L144" s="25">
        <v>8.6999999999999994E-2</v>
      </c>
      <c r="M144" s="33">
        <v>4.2000000000000003E-2</v>
      </c>
      <c r="N144" s="24">
        <f t="shared" si="7"/>
        <v>4.2138696799999993</v>
      </c>
      <c r="O144" s="40"/>
      <c r="P144" s="24">
        <f t="shared" si="8"/>
        <v>1.0886207999999999</v>
      </c>
      <c r="Q144" s="24">
        <f t="shared" si="8"/>
        <v>0.83460928000000001</v>
      </c>
      <c r="R144" s="24">
        <f t="shared" si="8"/>
        <v>3.9462503999999995E-2</v>
      </c>
      <c r="S144" s="24">
        <f t="shared" si="8"/>
        <v>1.9050864000000001E-2</v>
      </c>
      <c r="T144" s="1">
        <v>13.2</v>
      </c>
      <c r="V144" s="1">
        <v>70.2</v>
      </c>
      <c r="W144" s="1">
        <v>0.75</v>
      </c>
      <c r="X144" s="1">
        <v>0.47</v>
      </c>
      <c r="Y144" s="1">
        <v>13.9</v>
      </c>
      <c r="Z144" s="1">
        <v>0.66</v>
      </c>
      <c r="AA144" s="6">
        <v>0.31</v>
      </c>
    </row>
    <row r="145" spans="1:27">
      <c r="A145" s="3"/>
      <c r="D145" s="1">
        <v>700</v>
      </c>
      <c r="E145" s="1">
        <f>D145*$I$2</f>
        <v>317.51440000000002</v>
      </c>
      <c r="F145" s="25">
        <v>2.5</v>
      </c>
      <c r="G145" s="25">
        <f t="shared" si="6"/>
        <v>1.13398</v>
      </c>
      <c r="H145" s="32">
        <v>10.4</v>
      </c>
      <c r="I145" s="25">
        <v>6.8</v>
      </c>
      <c r="J145" s="25">
        <v>2.7</v>
      </c>
      <c r="K145" s="25">
        <v>1.9</v>
      </c>
      <c r="L145" s="25">
        <v>8.7999999999999995E-2</v>
      </c>
      <c r="M145" s="33">
        <v>4.2999999999999997E-2</v>
      </c>
      <c r="N145" s="24">
        <f t="shared" si="7"/>
        <v>4.7173568000000001</v>
      </c>
      <c r="O145" s="40"/>
      <c r="P145" s="24">
        <f t="shared" si="8"/>
        <v>1.2246984000000001</v>
      </c>
      <c r="Q145" s="24">
        <f t="shared" si="8"/>
        <v>0.86182479999999995</v>
      </c>
      <c r="R145" s="24">
        <f t="shared" si="8"/>
        <v>3.9916095999999998E-2</v>
      </c>
      <c r="S145" s="24">
        <f t="shared" si="8"/>
        <v>1.9504456E-2</v>
      </c>
      <c r="T145" s="1">
        <v>14.9</v>
      </c>
      <c r="V145" s="1">
        <v>70</v>
      </c>
      <c r="W145" s="1">
        <v>0.74</v>
      </c>
      <c r="X145" s="1">
        <v>0.47</v>
      </c>
      <c r="Y145" s="1">
        <v>12.8</v>
      </c>
      <c r="Z145" s="1">
        <v>0.59</v>
      </c>
      <c r="AA145" s="6">
        <v>0.28999999999999998</v>
      </c>
    </row>
    <row r="146" spans="1:27">
      <c r="A146" s="3"/>
      <c r="D146" s="1">
        <v>800</v>
      </c>
      <c r="E146" s="1">
        <f>D146*$I$2</f>
        <v>362.87360000000001</v>
      </c>
      <c r="F146" s="25">
        <v>2.5</v>
      </c>
      <c r="G146" s="25">
        <f t="shared" si="6"/>
        <v>1.13398</v>
      </c>
      <c r="H146" s="32">
        <v>11.48</v>
      </c>
      <c r="I146" s="25">
        <v>7.5</v>
      </c>
      <c r="J146" s="25">
        <v>2.9</v>
      </c>
      <c r="K146" s="25">
        <v>1.96</v>
      </c>
      <c r="L146" s="25">
        <v>8.7999999999999995E-2</v>
      </c>
      <c r="M146" s="33">
        <v>4.3999999999999997E-2</v>
      </c>
      <c r="N146" s="24">
        <f t="shared" si="7"/>
        <v>5.2072361599999999</v>
      </c>
      <c r="O146" s="40"/>
      <c r="P146" s="24">
        <f t="shared" si="8"/>
        <v>1.3154167999999999</v>
      </c>
      <c r="Q146" s="24">
        <f t="shared" si="8"/>
        <v>0.88904032</v>
      </c>
      <c r="R146" s="24">
        <f t="shared" si="8"/>
        <v>3.9916095999999998E-2</v>
      </c>
      <c r="S146" s="24">
        <f t="shared" si="8"/>
        <v>1.9958047999999999E-2</v>
      </c>
      <c r="T146" s="1">
        <v>16.399999999999999</v>
      </c>
      <c r="V146" s="1">
        <v>69.900000000000006</v>
      </c>
      <c r="W146" s="1">
        <v>0.74</v>
      </c>
      <c r="X146" s="1">
        <v>0.47</v>
      </c>
      <c r="Y146" s="1">
        <v>11.9</v>
      </c>
      <c r="Z146" s="1">
        <v>0.54</v>
      </c>
      <c r="AA146" s="6">
        <v>0.27</v>
      </c>
    </row>
    <row r="147" spans="1:27">
      <c r="A147" s="3"/>
      <c r="D147" s="1">
        <v>900</v>
      </c>
      <c r="E147" s="1">
        <f>D147*$I$2</f>
        <v>408.2328</v>
      </c>
      <c r="F147" s="25">
        <v>2.5</v>
      </c>
      <c r="G147" s="25">
        <f t="shared" si="6"/>
        <v>1.13398</v>
      </c>
      <c r="H147" s="32">
        <v>12.55</v>
      </c>
      <c r="I147" s="25">
        <v>8.1999999999999993</v>
      </c>
      <c r="J147" s="25">
        <v>3.2</v>
      </c>
      <c r="K147" s="25">
        <v>2.02</v>
      </c>
      <c r="L147" s="25">
        <v>8.8999999999999996E-2</v>
      </c>
      <c r="M147" s="33">
        <v>4.4999999999999998E-2</v>
      </c>
      <c r="N147" s="24">
        <f t="shared" si="7"/>
        <v>5.6925796000000002</v>
      </c>
      <c r="O147" s="40"/>
      <c r="P147" s="24">
        <f t="shared" si="8"/>
        <v>1.4514944000000001</v>
      </c>
      <c r="Q147" s="24">
        <f t="shared" si="8"/>
        <v>0.91625584000000004</v>
      </c>
      <c r="R147" s="24">
        <f t="shared" si="8"/>
        <v>4.0369688000000001E-2</v>
      </c>
      <c r="S147" s="24">
        <f t="shared" si="8"/>
        <v>2.0411639999999998E-2</v>
      </c>
      <c r="T147" s="1">
        <v>17.899999999999999</v>
      </c>
      <c r="V147" s="1">
        <v>69.900000000000006</v>
      </c>
      <c r="W147" s="1">
        <v>0.74</v>
      </c>
      <c r="X147" s="1">
        <v>0.47</v>
      </c>
      <c r="Y147" s="1">
        <v>11.2</v>
      </c>
      <c r="Z147" s="1">
        <v>0.49</v>
      </c>
      <c r="AA147" s="6">
        <v>0.25</v>
      </c>
    </row>
    <row r="148" spans="1:27">
      <c r="A148" s="3"/>
      <c r="D148" s="1">
        <v>500</v>
      </c>
      <c r="E148" s="1">
        <f>D148*$I$2</f>
        <v>226.79599999999999</v>
      </c>
      <c r="F148" s="25">
        <v>3</v>
      </c>
      <c r="G148" s="25">
        <f t="shared" si="6"/>
        <v>1.360776</v>
      </c>
      <c r="H148" s="32">
        <v>8.49</v>
      </c>
      <c r="I148" s="25">
        <v>5.3</v>
      </c>
      <c r="J148" s="25">
        <v>2.5</v>
      </c>
      <c r="K148" s="25">
        <v>1.99</v>
      </c>
      <c r="L148" s="25">
        <v>0.10100000000000001</v>
      </c>
      <c r="M148" s="33">
        <v>4.5999999999999999E-2</v>
      </c>
      <c r="N148" s="24">
        <f t="shared" si="7"/>
        <v>3.8509960800000003</v>
      </c>
      <c r="O148" s="40"/>
      <c r="P148" s="24">
        <f t="shared" si="8"/>
        <v>1.13398</v>
      </c>
      <c r="Q148" s="24">
        <f t="shared" si="8"/>
        <v>0.90264807999999996</v>
      </c>
      <c r="R148" s="24">
        <f t="shared" si="8"/>
        <v>4.5812792000000005E-2</v>
      </c>
      <c r="S148" s="24">
        <f t="shared" si="8"/>
        <v>2.0865232000000001E-2</v>
      </c>
      <c r="T148" s="1">
        <v>11.4</v>
      </c>
      <c r="V148" s="1">
        <v>74.3</v>
      </c>
      <c r="W148" s="1">
        <v>0.8</v>
      </c>
      <c r="X148" s="1">
        <v>0.52</v>
      </c>
      <c r="Y148" s="1">
        <v>17.399999999999999</v>
      </c>
      <c r="Z148" s="1">
        <v>0.89</v>
      </c>
      <c r="AA148" s="6">
        <v>0.4</v>
      </c>
    </row>
    <row r="149" spans="1:27">
      <c r="A149" s="3"/>
      <c r="D149" s="1">
        <v>600</v>
      </c>
      <c r="E149" s="1">
        <f>D149*$I$2</f>
        <v>272.15519999999998</v>
      </c>
      <c r="F149" s="25">
        <v>3</v>
      </c>
      <c r="G149" s="25">
        <f t="shared" si="6"/>
        <v>1.360776</v>
      </c>
      <c r="H149" s="32">
        <v>9.75</v>
      </c>
      <c r="I149" s="25">
        <v>6.1</v>
      </c>
      <c r="J149" s="25">
        <v>2.9</v>
      </c>
      <c r="K149" s="25">
        <v>2.04</v>
      </c>
      <c r="L149" s="25">
        <v>0.10100000000000001</v>
      </c>
      <c r="M149" s="33">
        <v>4.7E-2</v>
      </c>
      <c r="N149" s="24">
        <f t="shared" si="7"/>
        <v>4.4225219999999998</v>
      </c>
      <c r="O149" s="40"/>
      <c r="P149" s="24">
        <f t="shared" si="8"/>
        <v>1.3154167999999999</v>
      </c>
      <c r="Q149" s="24">
        <f t="shared" si="8"/>
        <v>0.92532767999999999</v>
      </c>
      <c r="R149" s="24">
        <f t="shared" si="8"/>
        <v>4.5812792000000005E-2</v>
      </c>
      <c r="S149" s="24">
        <f t="shared" si="8"/>
        <v>2.1318824E-2</v>
      </c>
      <c r="T149" s="1">
        <v>13.1</v>
      </c>
      <c r="V149" s="1">
        <v>74.5</v>
      </c>
      <c r="W149" s="1">
        <v>0.81</v>
      </c>
      <c r="X149" s="1">
        <v>0.52</v>
      </c>
      <c r="Y149" s="1">
        <v>15.6</v>
      </c>
      <c r="Z149" s="1">
        <v>0.77</v>
      </c>
      <c r="AA149" s="6">
        <v>0.36</v>
      </c>
    </row>
    <row r="150" spans="1:27">
      <c r="A150" s="3"/>
      <c r="D150" s="1">
        <v>700</v>
      </c>
      <c r="E150" s="1">
        <f>D150*$I$2</f>
        <v>317.51440000000002</v>
      </c>
      <c r="F150" s="25">
        <v>3</v>
      </c>
      <c r="G150" s="25">
        <f t="shared" si="6"/>
        <v>1.360776</v>
      </c>
      <c r="H150" s="32">
        <v>10.92</v>
      </c>
      <c r="I150" s="25">
        <v>6.8</v>
      </c>
      <c r="J150" s="25">
        <v>3.2</v>
      </c>
      <c r="K150" s="25">
        <v>2.09</v>
      </c>
      <c r="L150" s="25">
        <v>0.10100000000000001</v>
      </c>
      <c r="M150" s="33">
        <v>4.8000000000000001E-2</v>
      </c>
      <c r="N150" s="24">
        <f t="shared" si="7"/>
        <v>4.9532246400000002</v>
      </c>
      <c r="O150" s="40"/>
      <c r="P150" s="24">
        <f t="shared" si="8"/>
        <v>1.4514944000000001</v>
      </c>
      <c r="Q150" s="24">
        <f t="shared" si="8"/>
        <v>0.9480072799999999</v>
      </c>
      <c r="R150" s="24">
        <f t="shared" si="8"/>
        <v>4.5812792000000005E-2</v>
      </c>
      <c r="S150" s="24">
        <f t="shared" si="8"/>
        <v>2.1772415999999999E-2</v>
      </c>
      <c r="T150" s="1">
        <v>14.7</v>
      </c>
      <c r="V150" s="1">
        <v>74.3</v>
      </c>
      <c r="W150" s="1">
        <v>0.8</v>
      </c>
      <c r="X150" s="1">
        <v>0.52</v>
      </c>
      <c r="Y150" s="1">
        <v>14.2</v>
      </c>
      <c r="Z150" s="1">
        <v>0.68</v>
      </c>
      <c r="AA150" s="6">
        <v>0.33</v>
      </c>
    </row>
    <row r="151" spans="1:27">
      <c r="A151" s="3"/>
      <c r="D151" s="1">
        <v>800</v>
      </c>
      <c r="E151" s="1">
        <f>D151*$I$2</f>
        <v>362.87360000000001</v>
      </c>
      <c r="F151" s="25">
        <v>3</v>
      </c>
      <c r="G151" s="25">
        <f t="shared" si="6"/>
        <v>1.360776</v>
      </c>
      <c r="H151" s="32">
        <v>12.06</v>
      </c>
      <c r="I151" s="25">
        <v>7.5</v>
      </c>
      <c r="J151" s="25">
        <v>3.6</v>
      </c>
      <c r="K151" s="25">
        <v>2.14</v>
      </c>
      <c r="L151" s="25">
        <v>0.1</v>
      </c>
      <c r="M151" s="33">
        <v>4.9000000000000002E-2</v>
      </c>
      <c r="N151" s="24">
        <f t="shared" si="7"/>
        <v>5.4703195200000003</v>
      </c>
      <c r="O151" s="40"/>
      <c r="P151" s="24">
        <f t="shared" si="8"/>
        <v>1.6329312</v>
      </c>
      <c r="Q151" s="24">
        <f t="shared" si="8"/>
        <v>0.97068688000000003</v>
      </c>
      <c r="R151" s="24">
        <f t="shared" si="8"/>
        <v>4.5359200000000002E-2</v>
      </c>
      <c r="S151" s="24">
        <f t="shared" si="8"/>
        <v>2.2226008000000002E-2</v>
      </c>
      <c r="T151" s="1">
        <v>16.3</v>
      </c>
      <c r="V151" s="1">
        <v>74.2</v>
      </c>
      <c r="W151" s="1">
        <v>0.8</v>
      </c>
      <c r="X151" s="1">
        <v>0.52</v>
      </c>
      <c r="Y151" s="1">
        <v>13.2</v>
      </c>
      <c r="Z151" s="1">
        <v>0.62</v>
      </c>
      <c r="AA151" s="6">
        <v>0.3</v>
      </c>
    </row>
    <row r="152" spans="1:27">
      <c r="A152" s="13"/>
      <c r="B152" s="8"/>
      <c r="C152" s="8"/>
      <c r="D152" s="8">
        <v>900</v>
      </c>
      <c r="E152" s="1">
        <f>D152*$I$2</f>
        <v>408.2328</v>
      </c>
      <c r="F152" s="25">
        <v>3</v>
      </c>
      <c r="G152" s="25">
        <f t="shared" si="6"/>
        <v>1.360776</v>
      </c>
      <c r="H152" s="34">
        <v>13.18</v>
      </c>
      <c r="I152" s="35">
        <v>8.1999999999999993</v>
      </c>
      <c r="J152" s="35">
        <v>3.9</v>
      </c>
      <c r="K152" s="35">
        <v>2.19</v>
      </c>
      <c r="L152" s="35">
        <v>0.1</v>
      </c>
      <c r="M152" s="36">
        <v>0.05</v>
      </c>
      <c r="N152" s="24">
        <f t="shared" si="7"/>
        <v>5.9783425599999998</v>
      </c>
      <c r="O152" s="40"/>
      <c r="P152" s="24">
        <f t="shared" si="8"/>
        <v>1.7690087999999999</v>
      </c>
      <c r="Q152" s="24">
        <f t="shared" si="8"/>
        <v>0.99336647999999994</v>
      </c>
      <c r="R152" s="24">
        <f t="shared" si="8"/>
        <v>4.5359200000000002E-2</v>
      </c>
      <c r="S152" s="24">
        <f t="shared" si="8"/>
        <v>2.2679600000000001E-2</v>
      </c>
      <c r="T152" s="8">
        <v>17.8</v>
      </c>
      <c r="U152" s="8"/>
      <c r="V152" s="8">
        <v>74.2</v>
      </c>
      <c r="W152" s="8">
        <v>0.8</v>
      </c>
      <c r="X152" s="8">
        <v>0.52</v>
      </c>
      <c r="Y152" s="8">
        <v>12.3</v>
      </c>
      <c r="Z152" s="8">
        <v>0.56000000000000005</v>
      </c>
      <c r="AA152" s="9">
        <v>0.28000000000000003</v>
      </c>
    </row>
    <row r="153" spans="1:27">
      <c r="E153" s="1">
        <f>D153*$I$2</f>
        <v>0</v>
      </c>
      <c r="G153" s="25">
        <f t="shared" si="6"/>
        <v>0</v>
      </c>
      <c r="N153" s="24">
        <f t="shared" si="7"/>
        <v>0</v>
      </c>
      <c r="O153" s="40"/>
      <c r="P153" s="24">
        <f t="shared" si="8"/>
        <v>0</v>
      </c>
      <c r="Q153" s="24">
        <f t="shared" si="8"/>
        <v>0</v>
      </c>
      <c r="R153" s="24">
        <f t="shared" si="8"/>
        <v>0</v>
      </c>
      <c r="S153" s="24">
        <f t="shared" si="8"/>
        <v>0</v>
      </c>
    </row>
    <row r="154" spans="1:27">
      <c r="A154" s="11"/>
      <c r="B154" s="10"/>
      <c r="C154" s="10"/>
      <c r="D154" s="10"/>
      <c r="E154" s="1">
        <f>D154*$I$2</f>
        <v>0</v>
      </c>
      <c r="F154" s="37"/>
      <c r="G154" s="25">
        <f t="shared" si="6"/>
        <v>0</v>
      </c>
      <c r="H154" s="26" t="s">
        <v>10</v>
      </c>
      <c r="I154" s="27"/>
      <c r="J154" s="27"/>
      <c r="K154" s="27"/>
      <c r="L154" s="27"/>
      <c r="M154" s="28"/>
      <c r="N154" s="24" t="e">
        <f t="shared" si="7"/>
        <v>#VALUE!</v>
      </c>
      <c r="O154" s="40"/>
      <c r="P154" s="24">
        <f t="shared" si="8"/>
        <v>0</v>
      </c>
      <c r="Q154" s="24">
        <f t="shared" si="8"/>
        <v>0</v>
      </c>
      <c r="R154" s="24">
        <f t="shared" si="8"/>
        <v>0</v>
      </c>
      <c r="S154" s="24">
        <f t="shared" si="8"/>
        <v>0</v>
      </c>
      <c r="T154" s="20" t="s">
        <v>21</v>
      </c>
      <c r="U154" s="21"/>
      <c r="V154" s="21"/>
      <c r="W154" s="21"/>
      <c r="X154" s="21"/>
      <c r="Y154" s="21"/>
      <c r="Z154" s="21"/>
      <c r="AA154" s="22"/>
    </row>
    <row r="155" spans="1:27" ht="39">
      <c r="A155" s="12" t="s">
        <v>43</v>
      </c>
      <c r="B155" s="2" t="s">
        <v>27</v>
      </c>
      <c r="C155" s="2"/>
      <c r="D155" s="2" t="s">
        <v>31</v>
      </c>
      <c r="E155" s="1" t="e">
        <f>D155*$I$2</f>
        <v>#VALUE!</v>
      </c>
      <c r="F155" s="30" t="s">
        <v>30</v>
      </c>
      <c r="G155" s="25" t="e">
        <f t="shared" si="6"/>
        <v>#VALUE!</v>
      </c>
      <c r="H155" s="29" t="s">
        <v>11</v>
      </c>
      <c r="I155" s="30" t="s">
        <v>23</v>
      </c>
      <c r="J155" s="30" t="s">
        <v>24</v>
      </c>
      <c r="K155" s="30" t="s">
        <v>12</v>
      </c>
      <c r="L155" s="30" t="s">
        <v>13</v>
      </c>
      <c r="M155" s="31" t="s">
        <v>14</v>
      </c>
      <c r="N155" s="24" t="e">
        <f t="shared" si="7"/>
        <v>#VALUE!</v>
      </c>
      <c r="O155" s="40"/>
      <c r="P155" s="24" t="e">
        <f t="shared" si="8"/>
        <v>#VALUE!</v>
      </c>
      <c r="Q155" s="24" t="e">
        <f t="shared" si="8"/>
        <v>#VALUE!</v>
      </c>
      <c r="R155" s="24" t="e">
        <f t="shared" si="8"/>
        <v>#VALUE!</v>
      </c>
      <c r="S155" s="24" t="e">
        <f t="shared" si="8"/>
        <v>#VALUE!</v>
      </c>
      <c r="T155" s="3" t="s">
        <v>15</v>
      </c>
      <c r="U155" s="23"/>
      <c r="V155" s="2" t="s">
        <v>16</v>
      </c>
      <c r="W155" s="2" t="s">
        <v>17</v>
      </c>
      <c r="X155" s="2" t="s">
        <v>24</v>
      </c>
      <c r="Y155" s="2" t="s">
        <v>18</v>
      </c>
      <c r="Z155" s="2" t="s">
        <v>19</v>
      </c>
      <c r="AA155" s="4" t="s">
        <v>20</v>
      </c>
    </row>
    <row r="156" spans="1:27">
      <c r="A156" s="3"/>
      <c r="D156" s="1">
        <v>900</v>
      </c>
      <c r="E156" s="1">
        <f>D156*$I$2</f>
        <v>408.2328</v>
      </c>
      <c r="F156" s="25">
        <v>1</v>
      </c>
      <c r="G156" s="25">
        <f t="shared" si="6"/>
        <v>0.453592</v>
      </c>
      <c r="H156" s="32">
        <v>11.27</v>
      </c>
      <c r="I156" s="25">
        <v>8.1999999999999993</v>
      </c>
      <c r="J156" s="25">
        <v>1.2</v>
      </c>
      <c r="K156" s="25">
        <v>1.54</v>
      </c>
      <c r="L156" s="25">
        <v>5.1999999999999998E-2</v>
      </c>
      <c r="M156" s="33">
        <v>3.1E-2</v>
      </c>
      <c r="N156" s="24">
        <f t="shared" si="7"/>
        <v>5.1119818399999994</v>
      </c>
      <c r="O156" s="40"/>
      <c r="P156" s="24">
        <f t="shared" si="8"/>
        <v>0.54431039999999997</v>
      </c>
      <c r="Q156" s="24">
        <f t="shared" si="8"/>
        <v>0.69853167999999999</v>
      </c>
      <c r="R156" s="24">
        <f t="shared" si="8"/>
        <v>2.3586784E-2</v>
      </c>
      <c r="S156" s="24">
        <f t="shared" si="8"/>
        <v>1.4061351999999999E-2</v>
      </c>
      <c r="T156" s="5">
        <v>20.7</v>
      </c>
      <c r="U156" s="24"/>
      <c r="V156" s="1">
        <v>54.3</v>
      </c>
      <c r="W156" s="1">
        <v>0.51</v>
      </c>
      <c r="X156" s="1">
        <v>0.25</v>
      </c>
      <c r="Y156" s="1">
        <v>7.4</v>
      </c>
      <c r="Z156" s="1">
        <v>0.25</v>
      </c>
      <c r="AA156" s="6">
        <v>0.15</v>
      </c>
    </row>
    <row r="157" spans="1:27">
      <c r="A157" s="3"/>
      <c r="D157" s="15">
        <v>1000</v>
      </c>
      <c r="E157" s="1">
        <f>D157*$I$2</f>
        <v>453.59199999999998</v>
      </c>
      <c r="F157" s="25">
        <v>1</v>
      </c>
      <c r="G157" s="25">
        <f t="shared" si="6"/>
        <v>0.453592</v>
      </c>
      <c r="H157" s="32">
        <v>12.21</v>
      </c>
      <c r="I157" s="25">
        <v>8.9</v>
      </c>
      <c r="J157" s="25">
        <v>1.3</v>
      </c>
      <c r="K157" s="25">
        <v>1.62</v>
      </c>
      <c r="L157" s="25">
        <v>5.3999999999999999E-2</v>
      </c>
      <c r="M157" s="33">
        <v>3.3000000000000002E-2</v>
      </c>
      <c r="N157" s="24">
        <f t="shared" si="7"/>
        <v>5.5383583200000004</v>
      </c>
      <c r="O157" s="40"/>
      <c r="P157" s="24">
        <f t="shared" si="8"/>
        <v>0.58966960000000002</v>
      </c>
      <c r="Q157" s="24">
        <f t="shared" si="8"/>
        <v>0.73481904000000009</v>
      </c>
      <c r="R157" s="24">
        <f t="shared" si="8"/>
        <v>2.4493967999999998E-2</v>
      </c>
      <c r="S157" s="24">
        <f t="shared" si="8"/>
        <v>1.4968536000000001E-2</v>
      </c>
      <c r="T157" s="5">
        <v>22.5</v>
      </c>
      <c r="U157" s="24"/>
      <c r="V157" s="1">
        <v>54.4</v>
      </c>
      <c r="W157" s="1">
        <v>0.51</v>
      </c>
      <c r="X157" s="1">
        <v>0.26</v>
      </c>
      <c r="Y157" s="1">
        <v>7.2</v>
      </c>
      <c r="Z157" s="1">
        <v>0.24</v>
      </c>
      <c r="AA157" s="6">
        <v>0.15</v>
      </c>
    </row>
    <row r="158" spans="1:27">
      <c r="A158" s="3"/>
      <c r="D158" s="15">
        <v>1100</v>
      </c>
      <c r="E158" s="1">
        <f>D158*$I$2</f>
        <v>498.95119999999997</v>
      </c>
      <c r="F158" s="25">
        <v>1</v>
      </c>
      <c r="G158" s="25">
        <f t="shared" si="6"/>
        <v>0.453592</v>
      </c>
      <c r="H158" s="32">
        <v>13.08</v>
      </c>
      <c r="I158" s="25">
        <v>9.5</v>
      </c>
      <c r="J158" s="25">
        <v>1.4</v>
      </c>
      <c r="K158" s="25">
        <v>1.69</v>
      </c>
      <c r="L158" s="25">
        <v>5.7000000000000002E-2</v>
      </c>
      <c r="M158" s="33">
        <v>3.5000000000000003E-2</v>
      </c>
      <c r="N158" s="24">
        <f t="shared" si="7"/>
        <v>5.9329833599999997</v>
      </c>
      <c r="O158" s="40"/>
      <c r="P158" s="24">
        <f t="shared" si="8"/>
        <v>0.63502879999999995</v>
      </c>
      <c r="Q158" s="24">
        <f t="shared" si="8"/>
        <v>0.76657047999999994</v>
      </c>
      <c r="R158" s="24">
        <f t="shared" si="8"/>
        <v>2.5854743999999999E-2</v>
      </c>
      <c r="S158" s="24">
        <f t="shared" si="8"/>
        <v>1.5875720000000003E-2</v>
      </c>
      <c r="T158" s="5">
        <v>24.1</v>
      </c>
      <c r="U158" s="24"/>
      <c r="V158" s="1">
        <v>54.3</v>
      </c>
      <c r="W158" s="1">
        <v>0.51</v>
      </c>
      <c r="X158" s="1">
        <v>0.25</v>
      </c>
      <c r="Y158" s="1">
        <v>7</v>
      </c>
      <c r="Z158" s="1">
        <v>0.23</v>
      </c>
      <c r="AA158" s="6">
        <v>0.14000000000000001</v>
      </c>
    </row>
    <row r="159" spans="1:27">
      <c r="A159" s="3"/>
      <c r="D159" s="15">
        <v>1200</v>
      </c>
      <c r="E159" s="1">
        <f>D159*$I$2</f>
        <v>544.31039999999996</v>
      </c>
      <c r="F159" s="25">
        <v>1</v>
      </c>
      <c r="G159" s="25">
        <f t="shared" si="6"/>
        <v>0.453592</v>
      </c>
      <c r="H159" s="32">
        <v>14</v>
      </c>
      <c r="I159" s="25">
        <v>10.199999999999999</v>
      </c>
      <c r="J159" s="25">
        <v>1.5</v>
      </c>
      <c r="K159" s="25">
        <v>1.76</v>
      </c>
      <c r="L159" s="25">
        <v>5.8999999999999997E-2</v>
      </c>
      <c r="M159" s="33">
        <v>3.5999999999999997E-2</v>
      </c>
      <c r="N159" s="24">
        <f t="shared" si="7"/>
        <v>6.3502879999999999</v>
      </c>
      <c r="O159" s="40"/>
      <c r="P159" s="24">
        <f t="shared" si="8"/>
        <v>0.68038799999999999</v>
      </c>
      <c r="Q159" s="24">
        <f t="shared" si="8"/>
        <v>0.79832192000000002</v>
      </c>
      <c r="R159" s="24">
        <f t="shared" si="8"/>
        <v>2.6761927999999997E-2</v>
      </c>
      <c r="S159" s="24">
        <f t="shared" si="8"/>
        <v>1.6329311999999999E-2</v>
      </c>
      <c r="T159" s="5">
        <v>25.7</v>
      </c>
      <c r="U159" s="24"/>
      <c r="V159" s="1">
        <v>54.4</v>
      </c>
      <c r="W159" s="1">
        <v>0.51</v>
      </c>
      <c r="X159" s="1">
        <v>0.26</v>
      </c>
      <c r="Y159" s="1">
        <v>6.9</v>
      </c>
      <c r="Z159" s="1">
        <v>0.23</v>
      </c>
      <c r="AA159" s="6">
        <v>0.14000000000000001</v>
      </c>
    </row>
    <row r="160" spans="1:27">
      <c r="A160" s="3"/>
      <c r="D160" s="15">
        <v>1300</v>
      </c>
      <c r="E160" s="1">
        <f>D160*$I$2</f>
        <v>589.66959999999995</v>
      </c>
      <c r="F160" s="25">
        <v>1</v>
      </c>
      <c r="G160" s="25">
        <f t="shared" si="6"/>
        <v>0.453592</v>
      </c>
      <c r="H160" s="32">
        <v>14.85</v>
      </c>
      <c r="I160" s="25">
        <v>10.8</v>
      </c>
      <c r="J160" s="25">
        <v>1.5</v>
      </c>
      <c r="K160" s="25">
        <v>1.83</v>
      </c>
      <c r="L160" s="25">
        <v>6.0999999999999999E-2</v>
      </c>
      <c r="M160" s="33">
        <v>3.7999999999999999E-2</v>
      </c>
      <c r="N160" s="24">
        <f t="shared" si="7"/>
        <v>6.7358411999999994</v>
      </c>
      <c r="O160" s="40"/>
      <c r="P160" s="24">
        <f t="shared" si="8"/>
        <v>0.68038799999999999</v>
      </c>
      <c r="Q160" s="24">
        <f t="shared" si="8"/>
        <v>0.83007335999999998</v>
      </c>
      <c r="R160" s="24">
        <f t="shared" si="8"/>
        <v>2.7669111999999999E-2</v>
      </c>
      <c r="S160" s="24">
        <f t="shared" si="8"/>
        <v>1.7236496E-2</v>
      </c>
      <c r="T160" s="5">
        <v>27.3</v>
      </c>
      <c r="U160" s="24"/>
      <c r="V160" s="1">
        <v>54.3</v>
      </c>
      <c r="W160" s="1">
        <v>0.51</v>
      </c>
      <c r="X160" s="1">
        <v>0.25</v>
      </c>
      <c r="Y160" s="1">
        <v>6.7</v>
      </c>
      <c r="Z160" s="1">
        <v>0.22</v>
      </c>
      <c r="AA160" s="6">
        <v>0.14000000000000001</v>
      </c>
    </row>
    <row r="161" spans="1:27">
      <c r="A161" s="3"/>
      <c r="D161" s="15">
        <v>1400</v>
      </c>
      <c r="E161" s="1">
        <f>D161*$I$2</f>
        <v>635.02880000000005</v>
      </c>
      <c r="F161" s="25">
        <v>1</v>
      </c>
      <c r="G161" s="25">
        <f t="shared" si="6"/>
        <v>0.453592</v>
      </c>
      <c r="H161" s="32">
        <v>15.68</v>
      </c>
      <c r="I161" s="25">
        <v>11.4</v>
      </c>
      <c r="J161" s="25">
        <v>1.6</v>
      </c>
      <c r="K161" s="25">
        <v>1.9</v>
      </c>
      <c r="L161" s="25">
        <v>6.3E-2</v>
      </c>
      <c r="M161" s="33">
        <v>0.04</v>
      </c>
      <c r="N161" s="24">
        <f t="shared" si="7"/>
        <v>7.11232256</v>
      </c>
      <c r="O161" s="40"/>
      <c r="P161" s="24">
        <f t="shared" si="8"/>
        <v>0.72574720000000004</v>
      </c>
      <c r="Q161" s="24">
        <f t="shared" si="8"/>
        <v>0.86182479999999995</v>
      </c>
      <c r="R161" s="24">
        <f t="shared" si="8"/>
        <v>2.8576296000000001E-2</v>
      </c>
      <c r="S161" s="24">
        <f t="shared" si="8"/>
        <v>1.8143679999999999E-2</v>
      </c>
      <c r="T161" s="5">
        <v>28.9</v>
      </c>
      <c r="U161" s="24"/>
      <c r="V161" s="1">
        <v>54.3</v>
      </c>
      <c r="W161" s="1">
        <v>0.51</v>
      </c>
      <c r="X161" s="1">
        <v>0.25</v>
      </c>
      <c r="Y161" s="1">
        <v>6.6</v>
      </c>
      <c r="Z161" s="1">
        <v>0.22</v>
      </c>
      <c r="AA161" s="6">
        <v>0.14000000000000001</v>
      </c>
    </row>
    <row r="162" spans="1:27">
      <c r="A162" s="3"/>
      <c r="D162" s="15">
        <v>1500</v>
      </c>
      <c r="E162" s="1">
        <f>D162*$I$2</f>
        <v>680.38800000000003</v>
      </c>
      <c r="F162" s="25">
        <v>1</v>
      </c>
      <c r="G162" s="25">
        <f t="shared" si="6"/>
        <v>0.453592</v>
      </c>
      <c r="H162" s="32">
        <v>16.510000000000002</v>
      </c>
      <c r="I162" s="25">
        <v>12</v>
      </c>
      <c r="J162" s="25">
        <v>1.7</v>
      </c>
      <c r="K162" s="25">
        <v>1.97</v>
      </c>
      <c r="L162" s="25">
        <v>6.5000000000000002E-2</v>
      </c>
      <c r="M162" s="33">
        <v>4.2000000000000003E-2</v>
      </c>
      <c r="N162" s="24">
        <f t="shared" si="7"/>
        <v>7.4888039200000005</v>
      </c>
      <c r="O162" s="40"/>
      <c r="P162" s="24">
        <f t="shared" si="8"/>
        <v>0.77110639999999997</v>
      </c>
      <c r="Q162" s="24">
        <f t="shared" si="8"/>
        <v>0.89357624000000002</v>
      </c>
      <c r="R162" s="24">
        <f t="shared" si="8"/>
        <v>2.9483479999999999E-2</v>
      </c>
      <c r="S162" s="24">
        <f t="shared" si="8"/>
        <v>1.9050864000000001E-2</v>
      </c>
      <c r="T162" s="5">
        <v>30.4</v>
      </c>
      <c r="U162" s="24"/>
      <c r="V162" s="1">
        <v>54.3</v>
      </c>
      <c r="W162" s="1">
        <v>0.51</v>
      </c>
      <c r="X162" s="1">
        <v>0.25</v>
      </c>
      <c r="Y162" s="1">
        <v>6.5</v>
      </c>
      <c r="Z162" s="1">
        <v>0.21</v>
      </c>
      <c r="AA162" s="6">
        <v>0.14000000000000001</v>
      </c>
    </row>
    <row r="163" spans="1:27">
      <c r="A163" s="3"/>
      <c r="D163" s="15">
        <v>1600</v>
      </c>
      <c r="E163" s="1">
        <f>D163*$I$2</f>
        <v>725.74720000000002</v>
      </c>
      <c r="F163" s="25">
        <v>1</v>
      </c>
      <c r="G163" s="25">
        <f t="shared" si="6"/>
        <v>0.453592</v>
      </c>
      <c r="H163" s="32">
        <v>17.329999999999998</v>
      </c>
      <c r="I163" s="25">
        <v>12.6</v>
      </c>
      <c r="J163" s="25">
        <v>1.8</v>
      </c>
      <c r="K163" s="25">
        <v>2.04</v>
      </c>
      <c r="L163" s="25">
        <v>6.7000000000000004E-2</v>
      </c>
      <c r="M163" s="33">
        <v>4.3999999999999997E-2</v>
      </c>
      <c r="N163" s="24">
        <f t="shared" si="7"/>
        <v>7.8607493599999989</v>
      </c>
      <c r="O163" s="40"/>
      <c r="P163" s="24">
        <f t="shared" si="8"/>
        <v>0.81646560000000001</v>
      </c>
      <c r="Q163" s="24">
        <f t="shared" si="8"/>
        <v>0.92532767999999999</v>
      </c>
      <c r="R163" s="24">
        <f t="shared" si="8"/>
        <v>3.0390664000000001E-2</v>
      </c>
      <c r="S163" s="24">
        <f t="shared" si="8"/>
        <v>1.9958047999999999E-2</v>
      </c>
      <c r="T163" s="5">
        <v>31.9</v>
      </c>
      <c r="U163" s="24"/>
      <c r="V163" s="1">
        <v>54.3</v>
      </c>
      <c r="W163" s="1">
        <v>0.51</v>
      </c>
      <c r="X163" s="1">
        <v>0.25</v>
      </c>
      <c r="Y163" s="1">
        <v>6.4</v>
      </c>
      <c r="Z163" s="1">
        <v>0.21</v>
      </c>
      <c r="AA163" s="6">
        <v>0.14000000000000001</v>
      </c>
    </row>
    <row r="164" spans="1:27">
      <c r="A164" s="3"/>
      <c r="D164" s="15">
        <v>1700</v>
      </c>
      <c r="E164" s="1">
        <f>D164*$I$2</f>
        <v>771.10640000000001</v>
      </c>
      <c r="F164" s="25">
        <v>1</v>
      </c>
      <c r="G164" s="25">
        <f t="shared" si="6"/>
        <v>0.453592</v>
      </c>
      <c r="H164" s="32">
        <v>18.149999999999999</v>
      </c>
      <c r="I164" s="25">
        <v>13.2</v>
      </c>
      <c r="J164" s="25">
        <v>1.9</v>
      </c>
      <c r="K164" s="25">
        <v>2.1</v>
      </c>
      <c r="L164" s="25">
        <v>6.9000000000000006E-2</v>
      </c>
      <c r="M164" s="33">
        <v>4.5999999999999999E-2</v>
      </c>
      <c r="N164" s="24">
        <f t="shared" si="7"/>
        <v>8.2326947999999991</v>
      </c>
      <c r="O164" s="40"/>
      <c r="P164" s="24">
        <f t="shared" si="8"/>
        <v>0.86182479999999995</v>
      </c>
      <c r="Q164" s="24">
        <f t="shared" si="8"/>
        <v>0.95254320000000003</v>
      </c>
      <c r="R164" s="24">
        <f t="shared" si="8"/>
        <v>3.1297848000000003E-2</v>
      </c>
      <c r="S164" s="24">
        <f t="shared" si="8"/>
        <v>2.0865232000000001E-2</v>
      </c>
      <c r="T164" s="5">
        <v>33.4</v>
      </c>
      <c r="U164" s="24"/>
      <c r="V164" s="1">
        <v>54.3</v>
      </c>
      <c r="W164" s="1">
        <v>0.51</v>
      </c>
      <c r="X164" s="1">
        <v>0.25</v>
      </c>
      <c r="Y164" s="1">
        <v>6.3</v>
      </c>
      <c r="Z164" s="1">
        <v>0.21</v>
      </c>
      <c r="AA164" s="6">
        <v>0.14000000000000001</v>
      </c>
    </row>
    <row r="165" spans="1:27">
      <c r="A165" s="3"/>
      <c r="D165" s="15">
        <v>1800</v>
      </c>
      <c r="E165" s="1">
        <f>D165*$I$2</f>
        <v>816.46559999999999</v>
      </c>
      <c r="F165" s="25">
        <v>1</v>
      </c>
      <c r="G165" s="25">
        <f t="shared" si="6"/>
        <v>0.453592</v>
      </c>
      <c r="H165" s="32">
        <v>18.96</v>
      </c>
      <c r="I165" s="25">
        <v>13.8</v>
      </c>
      <c r="J165" s="25">
        <v>2</v>
      </c>
      <c r="K165" s="25">
        <v>2.17</v>
      </c>
      <c r="L165" s="25">
        <v>7.1999999999999995E-2</v>
      </c>
      <c r="M165" s="33">
        <v>4.8000000000000001E-2</v>
      </c>
      <c r="N165" s="24">
        <f t="shared" si="7"/>
        <v>8.6001043199999998</v>
      </c>
      <c r="O165" s="40"/>
      <c r="P165" s="24">
        <f t="shared" si="8"/>
        <v>0.90718399999999999</v>
      </c>
      <c r="Q165" s="24">
        <f t="shared" si="8"/>
        <v>0.98429464</v>
      </c>
      <c r="R165" s="24">
        <f t="shared" si="8"/>
        <v>3.2658623999999997E-2</v>
      </c>
      <c r="S165" s="24">
        <f t="shared" si="8"/>
        <v>2.1772415999999999E-2</v>
      </c>
      <c r="T165" s="5">
        <v>34.9</v>
      </c>
      <c r="U165" s="24"/>
      <c r="V165" s="1">
        <v>54.3</v>
      </c>
      <c r="W165" s="1">
        <v>0.51</v>
      </c>
      <c r="X165" s="1">
        <v>0.25</v>
      </c>
      <c r="Y165" s="1">
        <v>6.2</v>
      </c>
      <c r="Z165" s="1">
        <v>0.21</v>
      </c>
      <c r="AA165" s="6">
        <v>0.14000000000000001</v>
      </c>
    </row>
    <row r="166" spans="1:27">
      <c r="A166" s="3"/>
      <c r="D166" s="1">
        <v>900</v>
      </c>
      <c r="E166" s="1">
        <f>D166*$I$2</f>
        <v>408.2328</v>
      </c>
      <c r="F166" s="25">
        <v>1.5</v>
      </c>
      <c r="G166" s="25">
        <f t="shared" si="6"/>
        <v>0.68038799999999999</v>
      </c>
      <c r="H166" s="32">
        <v>12.03</v>
      </c>
      <c r="I166" s="25">
        <v>8.1999999999999993</v>
      </c>
      <c r="J166" s="25">
        <v>1.8</v>
      </c>
      <c r="K166" s="25">
        <v>1.75</v>
      </c>
      <c r="L166" s="25">
        <v>6.5000000000000002E-2</v>
      </c>
      <c r="M166" s="33">
        <v>3.5999999999999997E-2</v>
      </c>
      <c r="N166" s="24">
        <f t="shared" si="7"/>
        <v>5.4567117599999992</v>
      </c>
      <c r="O166" s="40"/>
      <c r="P166" s="24">
        <f t="shared" si="8"/>
        <v>0.81646560000000001</v>
      </c>
      <c r="Q166" s="24">
        <f t="shared" si="8"/>
        <v>0.79378599999999999</v>
      </c>
      <c r="R166" s="24">
        <f t="shared" si="8"/>
        <v>2.9483479999999999E-2</v>
      </c>
      <c r="S166" s="24">
        <f t="shared" si="8"/>
        <v>1.6329311999999999E-2</v>
      </c>
      <c r="T166" s="5">
        <v>21</v>
      </c>
      <c r="U166" s="24"/>
      <c r="V166" s="1">
        <v>57.2</v>
      </c>
      <c r="W166" s="1">
        <v>0.55000000000000004</v>
      </c>
      <c r="X166" s="1">
        <v>0.3</v>
      </c>
      <c r="Y166" s="1">
        <v>8.3000000000000007</v>
      </c>
      <c r="Z166" s="1">
        <v>0.31</v>
      </c>
      <c r="AA166" s="6">
        <v>0.17</v>
      </c>
    </row>
    <row r="167" spans="1:27">
      <c r="A167" s="3"/>
      <c r="D167" s="15">
        <v>1000</v>
      </c>
      <c r="E167" s="1">
        <f>D167*$I$2</f>
        <v>453.59199999999998</v>
      </c>
      <c r="F167" s="25">
        <v>1.5</v>
      </c>
      <c r="G167" s="25">
        <f t="shared" si="6"/>
        <v>0.68038799999999999</v>
      </c>
      <c r="H167" s="32">
        <v>13.03</v>
      </c>
      <c r="I167" s="25">
        <v>8.9</v>
      </c>
      <c r="J167" s="25">
        <v>2</v>
      </c>
      <c r="K167" s="25">
        <v>1.82</v>
      </c>
      <c r="L167" s="25">
        <v>6.6000000000000003E-2</v>
      </c>
      <c r="M167" s="33">
        <v>3.6999999999999998E-2</v>
      </c>
      <c r="N167" s="24">
        <f t="shared" si="7"/>
        <v>5.9103037599999997</v>
      </c>
      <c r="O167" s="40"/>
      <c r="P167" s="24">
        <f t="shared" si="8"/>
        <v>0.90718399999999999</v>
      </c>
      <c r="Q167" s="24">
        <f t="shared" si="8"/>
        <v>0.82553744000000007</v>
      </c>
      <c r="R167" s="24">
        <f t="shared" si="8"/>
        <v>2.9937072000000002E-2</v>
      </c>
      <c r="S167" s="24">
        <f t="shared" si="8"/>
        <v>1.6782903999999998E-2</v>
      </c>
      <c r="T167" s="5">
        <v>22.8</v>
      </c>
      <c r="U167" s="24"/>
      <c r="V167" s="1">
        <v>57.2</v>
      </c>
      <c r="W167" s="1">
        <v>0.55000000000000004</v>
      </c>
      <c r="X167" s="1">
        <v>0.3</v>
      </c>
      <c r="Y167" s="1">
        <v>8</v>
      </c>
      <c r="Z167" s="1">
        <v>0.28999999999999998</v>
      </c>
      <c r="AA167" s="6">
        <v>0.16</v>
      </c>
    </row>
    <row r="168" spans="1:27">
      <c r="A168" s="3"/>
      <c r="D168" s="15">
        <v>1100</v>
      </c>
      <c r="E168" s="1">
        <f>D168*$I$2</f>
        <v>498.95119999999997</v>
      </c>
      <c r="F168" s="25">
        <v>1.5</v>
      </c>
      <c r="G168" s="25">
        <f t="shared" si="6"/>
        <v>0.68038799999999999</v>
      </c>
      <c r="H168" s="32">
        <v>13.97</v>
      </c>
      <c r="I168" s="25">
        <v>9.5</v>
      </c>
      <c r="J168" s="25">
        <v>2.1</v>
      </c>
      <c r="K168" s="25">
        <v>1.89</v>
      </c>
      <c r="L168" s="25">
        <v>6.8000000000000005E-2</v>
      </c>
      <c r="M168" s="33">
        <v>3.9E-2</v>
      </c>
      <c r="N168" s="24">
        <f t="shared" si="7"/>
        <v>6.3366802400000006</v>
      </c>
      <c r="O168" s="40"/>
      <c r="P168" s="24">
        <f t="shared" si="8"/>
        <v>0.95254320000000003</v>
      </c>
      <c r="Q168" s="24">
        <f t="shared" si="8"/>
        <v>0.85728887999999992</v>
      </c>
      <c r="R168" s="24">
        <f t="shared" si="8"/>
        <v>3.0844256E-2</v>
      </c>
      <c r="S168" s="24">
        <f t="shared" si="8"/>
        <v>1.7690088E-2</v>
      </c>
      <c r="T168" s="5">
        <v>24.5</v>
      </c>
      <c r="U168" s="24"/>
      <c r="V168" s="1">
        <v>57.1</v>
      </c>
      <c r="W168" s="1">
        <v>0.55000000000000004</v>
      </c>
      <c r="X168" s="1">
        <v>0.28999999999999998</v>
      </c>
      <c r="Y168" s="1">
        <v>7.7</v>
      </c>
      <c r="Z168" s="1">
        <v>0.28000000000000003</v>
      </c>
      <c r="AA168" s="6">
        <v>0.16</v>
      </c>
    </row>
    <row r="169" spans="1:27">
      <c r="A169" s="3"/>
      <c r="D169" s="15">
        <v>1200</v>
      </c>
      <c r="E169" s="1">
        <f>D169*$I$2</f>
        <v>544.31039999999996</v>
      </c>
      <c r="F169" s="25">
        <v>1.5</v>
      </c>
      <c r="G169" s="25">
        <f t="shared" si="6"/>
        <v>0.68038799999999999</v>
      </c>
      <c r="H169" s="32">
        <v>14.94</v>
      </c>
      <c r="I169" s="25">
        <v>10.199999999999999</v>
      </c>
      <c r="J169" s="25">
        <v>2.2999999999999998</v>
      </c>
      <c r="K169" s="25">
        <v>1.95</v>
      </c>
      <c r="L169" s="25">
        <v>6.9000000000000006E-2</v>
      </c>
      <c r="M169" s="33">
        <v>4.1000000000000002E-2</v>
      </c>
      <c r="N169" s="24">
        <f t="shared" si="7"/>
        <v>6.77666448</v>
      </c>
      <c r="O169" s="40"/>
      <c r="P169" s="24">
        <f t="shared" si="8"/>
        <v>1.0432615999999999</v>
      </c>
      <c r="Q169" s="24">
        <f t="shared" si="8"/>
        <v>0.88450439999999997</v>
      </c>
      <c r="R169" s="24">
        <f t="shared" si="8"/>
        <v>3.1297848000000003E-2</v>
      </c>
      <c r="S169" s="24">
        <f t="shared" si="8"/>
        <v>1.8597272000000001E-2</v>
      </c>
      <c r="T169" s="5">
        <v>26.1</v>
      </c>
      <c r="U169" s="24"/>
      <c r="V169" s="1">
        <v>57.2</v>
      </c>
      <c r="W169" s="1">
        <v>0.55000000000000004</v>
      </c>
      <c r="X169" s="1">
        <v>0.3</v>
      </c>
      <c r="Y169" s="1">
        <v>7.5</v>
      </c>
      <c r="Z169" s="1">
        <v>0.27</v>
      </c>
      <c r="AA169" s="6">
        <v>0.16</v>
      </c>
    </row>
    <row r="170" spans="1:27">
      <c r="A170" s="3"/>
      <c r="D170" s="15">
        <v>1300</v>
      </c>
      <c r="E170" s="1">
        <f>D170*$I$2</f>
        <v>589.66959999999995</v>
      </c>
      <c r="F170" s="25">
        <v>1.5</v>
      </c>
      <c r="G170" s="25">
        <f t="shared" si="6"/>
        <v>0.68038799999999999</v>
      </c>
      <c r="H170" s="32">
        <v>15.86</v>
      </c>
      <c r="I170" s="25">
        <v>10.8</v>
      </c>
      <c r="J170" s="25">
        <v>2.4</v>
      </c>
      <c r="K170" s="25">
        <v>2.0099999999999998</v>
      </c>
      <c r="L170" s="25">
        <v>7.0999999999999994E-2</v>
      </c>
      <c r="M170" s="33">
        <v>4.2999999999999997E-2</v>
      </c>
      <c r="N170" s="24">
        <f t="shared" si="7"/>
        <v>7.1939691199999993</v>
      </c>
      <c r="O170" s="40"/>
      <c r="P170" s="24">
        <f t="shared" si="8"/>
        <v>1.0886207999999999</v>
      </c>
      <c r="Q170" s="24">
        <f t="shared" si="8"/>
        <v>0.91171991999999991</v>
      </c>
      <c r="R170" s="24">
        <f t="shared" si="8"/>
        <v>3.2205031999999995E-2</v>
      </c>
      <c r="S170" s="24">
        <f t="shared" si="8"/>
        <v>1.9504456E-2</v>
      </c>
      <c r="T170" s="5">
        <v>27.7</v>
      </c>
      <c r="U170" s="24"/>
      <c r="V170" s="1">
        <v>57.2</v>
      </c>
      <c r="W170" s="1">
        <v>0.55000000000000004</v>
      </c>
      <c r="X170" s="1">
        <v>0.3</v>
      </c>
      <c r="Y170" s="1">
        <v>7.3</v>
      </c>
      <c r="Z170" s="1">
        <v>0.26</v>
      </c>
      <c r="AA170" s="6">
        <v>0.15</v>
      </c>
    </row>
    <row r="171" spans="1:27">
      <c r="A171" s="3"/>
      <c r="D171" s="15">
        <v>1400</v>
      </c>
      <c r="E171" s="1">
        <f>D171*$I$2</f>
        <v>635.02880000000005</v>
      </c>
      <c r="F171" s="25">
        <v>1.5</v>
      </c>
      <c r="G171" s="25">
        <f t="shared" si="6"/>
        <v>0.68038799999999999</v>
      </c>
      <c r="H171" s="32">
        <v>16.739999999999998</v>
      </c>
      <c r="I171" s="25">
        <v>11.4</v>
      </c>
      <c r="J171" s="25">
        <v>2.5</v>
      </c>
      <c r="K171" s="25">
        <v>2.0699999999999998</v>
      </c>
      <c r="L171" s="25">
        <v>7.2999999999999995E-2</v>
      </c>
      <c r="M171" s="33">
        <v>4.3999999999999997E-2</v>
      </c>
      <c r="N171" s="24">
        <f t="shared" si="7"/>
        <v>7.593130079999999</v>
      </c>
      <c r="O171" s="40"/>
      <c r="P171" s="24">
        <f t="shared" si="8"/>
        <v>1.13398</v>
      </c>
      <c r="Q171" s="24">
        <f t="shared" si="8"/>
        <v>0.93893543999999995</v>
      </c>
      <c r="R171" s="24">
        <f t="shared" si="8"/>
        <v>3.3112216E-2</v>
      </c>
      <c r="S171" s="24">
        <f t="shared" si="8"/>
        <v>1.9958047999999999E-2</v>
      </c>
      <c r="T171" s="5">
        <v>29.3</v>
      </c>
      <c r="U171" s="24"/>
      <c r="V171" s="1">
        <v>57.1</v>
      </c>
      <c r="W171" s="1">
        <v>0.55000000000000004</v>
      </c>
      <c r="X171" s="1">
        <v>0.28999999999999998</v>
      </c>
      <c r="Y171" s="1">
        <v>7.1</v>
      </c>
      <c r="Z171" s="1">
        <v>0.25</v>
      </c>
      <c r="AA171" s="6">
        <v>0.15</v>
      </c>
    </row>
    <row r="172" spans="1:27">
      <c r="A172" s="3"/>
      <c r="D172" s="15">
        <v>1500</v>
      </c>
      <c r="E172" s="1">
        <f>D172*$I$2</f>
        <v>680.38800000000003</v>
      </c>
      <c r="F172" s="25">
        <v>1.5</v>
      </c>
      <c r="G172" s="25">
        <f t="shared" si="6"/>
        <v>0.68038799999999999</v>
      </c>
      <c r="H172" s="32">
        <v>17.64</v>
      </c>
      <c r="I172" s="25">
        <v>12</v>
      </c>
      <c r="J172" s="25">
        <v>2.6</v>
      </c>
      <c r="K172" s="25">
        <v>2.13</v>
      </c>
      <c r="L172" s="25">
        <v>7.4999999999999997E-2</v>
      </c>
      <c r="M172" s="33">
        <v>4.5999999999999999E-2</v>
      </c>
      <c r="N172" s="24">
        <f t="shared" si="7"/>
        <v>8.0013628800000003</v>
      </c>
      <c r="O172" s="40"/>
      <c r="P172" s="24">
        <f t="shared" si="8"/>
        <v>1.1793392</v>
      </c>
      <c r="Q172" s="24">
        <f t="shared" si="8"/>
        <v>0.96615095999999989</v>
      </c>
      <c r="R172" s="24">
        <f t="shared" si="8"/>
        <v>3.4019399999999998E-2</v>
      </c>
      <c r="S172" s="24">
        <f t="shared" si="8"/>
        <v>2.0865232000000001E-2</v>
      </c>
      <c r="T172" s="5">
        <v>30.9</v>
      </c>
      <c r="U172" s="24"/>
      <c r="V172" s="1">
        <v>57.1</v>
      </c>
      <c r="W172" s="1">
        <v>0.55000000000000004</v>
      </c>
      <c r="X172" s="1">
        <v>0.28999999999999998</v>
      </c>
      <c r="Y172" s="1">
        <v>6.9</v>
      </c>
      <c r="Z172" s="1">
        <v>0.24</v>
      </c>
      <c r="AA172" s="6">
        <v>0.15</v>
      </c>
    </row>
    <row r="173" spans="1:27">
      <c r="A173" s="3"/>
      <c r="D173" s="15">
        <v>1600</v>
      </c>
      <c r="E173" s="1">
        <f>D173*$I$2</f>
        <v>725.74720000000002</v>
      </c>
      <c r="F173" s="25">
        <v>1.5</v>
      </c>
      <c r="G173" s="25">
        <f t="shared" si="6"/>
        <v>0.68038799999999999</v>
      </c>
      <c r="H173" s="32">
        <v>18.510000000000002</v>
      </c>
      <c r="I173" s="25">
        <v>12.6</v>
      </c>
      <c r="J173" s="25">
        <v>2.8</v>
      </c>
      <c r="K173" s="25">
        <v>2.19</v>
      </c>
      <c r="L173" s="25">
        <v>7.5999999999999998E-2</v>
      </c>
      <c r="M173" s="33">
        <v>4.8000000000000001E-2</v>
      </c>
      <c r="N173" s="24">
        <f t="shared" si="7"/>
        <v>8.3959879200000014</v>
      </c>
      <c r="O173" s="40"/>
      <c r="P173" s="24">
        <f t="shared" si="8"/>
        <v>1.2700575999999999</v>
      </c>
      <c r="Q173" s="24">
        <f t="shared" si="8"/>
        <v>0.99336647999999994</v>
      </c>
      <c r="R173" s="24">
        <f t="shared" si="8"/>
        <v>3.4472992000000001E-2</v>
      </c>
      <c r="S173" s="24">
        <f t="shared" si="8"/>
        <v>2.1772415999999999E-2</v>
      </c>
      <c r="T173" s="5">
        <v>32.4</v>
      </c>
      <c r="U173" s="24"/>
      <c r="V173" s="1">
        <v>57.1</v>
      </c>
      <c r="W173" s="1">
        <v>0.55000000000000004</v>
      </c>
      <c r="X173" s="1">
        <v>0.28999999999999998</v>
      </c>
      <c r="Y173" s="1">
        <v>6.8</v>
      </c>
      <c r="Z173" s="1">
        <v>0.24</v>
      </c>
      <c r="AA173" s="6">
        <v>0.15</v>
      </c>
    </row>
    <row r="174" spans="1:27">
      <c r="A174" s="3"/>
      <c r="D174" s="15">
        <v>1700</v>
      </c>
      <c r="E174" s="1">
        <f>D174*$I$2</f>
        <v>771.10640000000001</v>
      </c>
      <c r="F174" s="25">
        <v>1.5</v>
      </c>
      <c r="G174" s="25">
        <f t="shared" si="6"/>
        <v>0.68038799999999999</v>
      </c>
      <c r="H174" s="32">
        <v>19.38</v>
      </c>
      <c r="I174" s="25">
        <v>13.2</v>
      </c>
      <c r="J174" s="25">
        <v>2.9</v>
      </c>
      <c r="K174" s="25">
        <v>2.25</v>
      </c>
      <c r="L174" s="25">
        <v>7.8E-2</v>
      </c>
      <c r="M174" s="33">
        <v>0.05</v>
      </c>
      <c r="N174" s="24">
        <f t="shared" si="7"/>
        <v>8.7906129599999989</v>
      </c>
      <c r="O174" s="40"/>
      <c r="P174" s="24">
        <f t="shared" si="8"/>
        <v>1.3154167999999999</v>
      </c>
      <c r="Q174" s="24">
        <f t="shared" si="8"/>
        <v>1.0205820000000001</v>
      </c>
      <c r="R174" s="24">
        <f t="shared" si="8"/>
        <v>3.5380175999999999E-2</v>
      </c>
      <c r="S174" s="24">
        <f t="shared" si="8"/>
        <v>2.2679600000000001E-2</v>
      </c>
      <c r="T174" s="5">
        <v>33.9</v>
      </c>
      <c r="U174" s="24"/>
      <c r="V174" s="1">
        <v>57.1</v>
      </c>
      <c r="W174" s="1">
        <v>0.55000000000000004</v>
      </c>
      <c r="X174" s="1">
        <v>0.28999999999999998</v>
      </c>
      <c r="Y174" s="1">
        <v>6.6</v>
      </c>
      <c r="Z174" s="1">
        <v>0.23</v>
      </c>
      <c r="AA174" s="6">
        <v>0.15</v>
      </c>
    </row>
    <row r="175" spans="1:27">
      <c r="A175" s="3"/>
      <c r="D175" s="15">
        <v>1800</v>
      </c>
      <c r="E175" s="1">
        <f>D175*$I$2</f>
        <v>816.46559999999999</v>
      </c>
      <c r="F175" s="25">
        <v>1.5</v>
      </c>
      <c r="G175" s="25">
        <f t="shared" si="6"/>
        <v>0.68038799999999999</v>
      </c>
      <c r="H175" s="32">
        <v>20.239999999999998</v>
      </c>
      <c r="I175" s="25">
        <v>13.8</v>
      </c>
      <c r="J175" s="25">
        <v>3.1</v>
      </c>
      <c r="K175" s="25">
        <v>2.31</v>
      </c>
      <c r="L175" s="25">
        <v>0.08</v>
      </c>
      <c r="M175" s="33">
        <v>5.0999999999999997E-2</v>
      </c>
      <c r="N175" s="24">
        <f t="shared" si="7"/>
        <v>9.1807020799999997</v>
      </c>
      <c r="O175" s="40"/>
      <c r="P175" s="24">
        <f t="shared" si="8"/>
        <v>1.4061352</v>
      </c>
      <c r="Q175" s="24">
        <f t="shared" si="8"/>
        <v>1.04779752</v>
      </c>
      <c r="R175" s="24">
        <f t="shared" si="8"/>
        <v>3.6287359999999998E-2</v>
      </c>
      <c r="S175" s="24">
        <f t="shared" si="8"/>
        <v>2.3133191999999997E-2</v>
      </c>
      <c r="T175" s="5">
        <v>35.4</v>
      </c>
      <c r="U175" s="24"/>
      <c r="V175" s="1">
        <v>57.2</v>
      </c>
      <c r="W175" s="1">
        <v>0.55000000000000004</v>
      </c>
      <c r="X175" s="1">
        <v>0.3</v>
      </c>
      <c r="Y175" s="1">
        <v>6.5</v>
      </c>
      <c r="Z175" s="1">
        <v>0.23</v>
      </c>
      <c r="AA175" s="6">
        <v>0.15</v>
      </c>
    </row>
    <row r="176" spans="1:27">
      <c r="A176" s="3"/>
      <c r="D176" s="1">
        <v>900</v>
      </c>
      <c r="E176" s="1">
        <f>D176*$I$2</f>
        <v>408.2328</v>
      </c>
      <c r="F176" s="25">
        <v>2</v>
      </c>
      <c r="G176" s="25">
        <f t="shared" si="6"/>
        <v>0.90718399999999999</v>
      </c>
      <c r="H176" s="32">
        <v>12.74</v>
      </c>
      <c r="I176" s="25">
        <v>8.1999999999999993</v>
      </c>
      <c r="J176" s="25">
        <v>2.6</v>
      </c>
      <c r="K176" s="25">
        <v>1.96</v>
      </c>
      <c r="L176" s="25">
        <v>7.6999999999999999E-2</v>
      </c>
      <c r="M176" s="33">
        <v>4.1000000000000002E-2</v>
      </c>
      <c r="N176" s="24">
        <f t="shared" si="7"/>
        <v>5.7787620799999999</v>
      </c>
      <c r="O176" s="40"/>
      <c r="P176" s="24">
        <f t="shared" si="8"/>
        <v>1.1793392</v>
      </c>
      <c r="Q176" s="24">
        <f t="shared" si="8"/>
        <v>0.88904032</v>
      </c>
      <c r="R176" s="24">
        <f t="shared" si="8"/>
        <v>3.4926583999999997E-2</v>
      </c>
      <c r="S176" s="24">
        <f t="shared" si="8"/>
        <v>1.8597272000000001E-2</v>
      </c>
      <c r="T176" s="5">
        <v>21.2</v>
      </c>
      <c r="U176" s="24"/>
      <c r="V176" s="1">
        <v>60.1</v>
      </c>
      <c r="W176" s="1">
        <v>0.6</v>
      </c>
      <c r="X176" s="1">
        <v>0.34</v>
      </c>
      <c r="Y176" s="1">
        <v>9.3000000000000007</v>
      </c>
      <c r="Z176" s="1">
        <v>0.36</v>
      </c>
      <c r="AA176" s="6">
        <v>0.19</v>
      </c>
    </row>
    <row r="177" spans="1:27">
      <c r="A177" s="3"/>
      <c r="D177" s="15">
        <v>1000</v>
      </c>
      <c r="E177" s="1">
        <f>D177*$I$2</f>
        <v>453.59199999999998</v>
      </c>
      <c r="F177" s="25">
        <v>2</v>
      </c>
      <c r="G177" s="25">
        <f t="shared" ref="G177:G215" si="9">F177*$I$2</f>
        <v>0.90718399999999999</v>
      </c>
      <c r="H177" s="32">
        <v>13.8</v>
      </c>
      <c r="I177" s="25">
        <v>8.9</v>
      </c>
      <c r="J177" s="25">
        <v>2.7</v>
      </c>
      <c r="K177" s="25">
        <v>2.02</v>
      </c>
      <c r="L177" s="25">
        <v>7.8E-2</v>
      </c>
      <c r="M177" s="33">
        <v>4.2000000000000003E-2</v>
      </c>
      <c r="N177" s="24">
        <f t="shared" si="7"/>
        <v>6.2595695999999998</v>
      </c>
      <c r="O177" s="40"/>
      <c r="P177" s="24">
        <f t="shared" si="8"/>
        <v>1.2246984000000001</v>
      </c>
      <c r="Q177" s="24">
        <f t="shared" si="8"/>
        <v>0.91625584000000004</v>
      </c>
      <c r="R177" s="24">
        <f t="shared" si="8"/>
        <v>3.5380175999999999E-2</v>
      </c>
      <c r="S177" s="24">
        <f t="shared" si="8"/>
        <v>1.9050864000000001E-2</v>
      </c>
      <c r="T177" s="5">
        <v>22.9</v>
      </c>
      <c r="U177" s="24"/>
      <c r="V177" s="1">
        <v>60.2</v>
      </c>
      <c r="W177" s="1">
        <v>0.6</v>
      </c>
      <c r="X177" s="1">
        <v>0.34</v>
      </c>
      <c r="Y177" s="1">
        <v>8.8000000000000007</v>
      </c>
      <c r="Z177" s="1">
        <v>0.34</v>
      </c>
      <c r="AA177" s="6">
        <v>0.18</v>
      </c>
    </row>
    <row r="178" spans="1:27">
      <c r="A178" s="3"/>
      <c r="D178" s="15">
        <v>1100</v>
      </c>
      <c r="E178" s="1">
        <f>D178*$I$2</f>
        <v>498.95119999999997</v>
      </c>
      <c r="F178" s="25">
        <v>2</v>
      </c>
      <c r="G178" s="25">
        <f t="shared" si="9"/>
        <v>0.90718399999999999</v>
      </c>
      <c r="H178" s="32">
        <v>14.79</v>
      </c>
      <c r="I178" s="25">
        <v>9.5</v>
      </c>
      <c r="J178" s="25">
        <v>3</v>
      </c>
      <c r="K178" s="25">
        <v>2.08</v>
      </c>
      <c r="L178" s="25">
        <v>7.9000000000000001E-2</v>
      </c>
      <c r="M178" s="33">
        <v>4.3999999999999997E-2</v>
      </c>
      <c r="N178" s="24">
        <f t="shared" si="7"/>
        <v>6.7086256799999999</v>
      </c>
      <c r="O178" s="40"/>
      <c r="P178" s="24">
        <f t="shared" si="8"/>
        <v>1.360776</v>
      </c>
      <c r="Q178" s="24">
        <f t="shared" si="8"/>
        <v>0.94347135999999998</v>
      </c>
      <c r="R178" s="24">
        <f t="shared" si="8"/>
        <v>3.5833768000000002E-2</v>
      </c>
      <c r="S178" s="24">
        <f t="shared" si="8"/>
        <v>1.9958047999999999E-2</v>
      </c>
      <c r="T178" s="5">
        <v>24.6</v>
      </c>
      <c r="U178" s="24"/>
      <c r="V178" s="1">
        <v>60.1</v>
      </c>
      <c r="W178" s="1">
        <v>0.6</v>
      </c>
      <c r="X178" s="1">
        <v>0.34</v>
      </c>
      <c r="Y178" s="1">
        <v>8.4</v>
      </c>
      <c r="Z178" s="1">
        <v>0.32</v>
      </c>
      <c r="AA178" s="6">
        <v>0.18</v>
      </c>
    </row>
    <row r="179" spans="1:27">
      <c r="A179" s="3"/>
      <c r="D179" s="15">
        <v>1200</v>
      </c>
      <c r="E179" s="1">
        <f>D179*$I$2</f>
        <v>544.31039999999996</v>
      </c>
      <c r="F179" s="25">
        <v>2</v>
      </c>
      <c r="G179" s="25">
        <f t="shared" si="9"/>
        <v>0.90718399999999999</v>
      </c>
      <c r="H179" s="32">
        <v>15.82</v>
      </c>
      <c r="I179" s="25">
        <v>10.199999999999999</v>
      </c>
      <c r="J179" s="25">
        <v>3.2</v>
      </c>
      <c r="K179" s="25">
        <v>2.13</v>
      </c>
      <c r="L179" s="25">
        <v>0.08</v>
      </c>
      <c r="M179" s="33">
        <v>4.4999999999999998E-2</v>
      </c>
      <c r="N179" s="24">
        <f t="shared" si="7"/>
        <v>7.1758254399999997</v>
      </c>
      <c r="O179" s="40"/>
      <c r="P179" s="24">
        <f t="shared" si="8"/>
        <v>1.4514944000000001</v>
      </c>
      <c r="Q179" s="24">
        <f t="shared" si="8"/>
        <v>0.96615095999999989</v>
      </c>
      <c r="R179" s="24">
        <f t="shared" si="8"/>
        <v>3.6287359999999998E-2</v>
      </c>
      <c r="S179" s="24">
        <f t="shared" si="8"/>
        <v>2.0411639999999998E-2</v>
      </c>
      <c r="T179" s="5">
        <v>26.3</v>
      </c>
      <c r="U179" s="24"/>
      <c r="V179" s="1">
        <v>60.2</v>
      </c>
      <c r="W179" s="1">
        <v>0.6</v>
      </c>
      <c r="X179" s="1">
        <v>0.34</v>
      </c>
      <c r="Y179" s="1">
        <v>8.1</v>
      </c>
      <c r="Z179" s="1">
        <v>0.3</v>
      </c>
      <c r="AA179" s="6">
        <v>0.17</v>
      </c>
    </row>
    <row r="180" spans="1:27">
      <c r="A180" s="3"/>
      <c r="D180" s="15">
        <v>1300</v>
      </c>
      <c r="E180" s="1">
        <f>D180*$I$2</f>
        <v>589.66959999999995</v>
      </c>
      <c r="F180" s="25">
        <v>2</v>
      </c>
      <c r="G180" s="25">
        <f t="shared" si="9"/>
        <v>0.90718399999999999</v>
      </c>
      <c r="H180" s="32">
        <v>16.79</v>
      </c>
      <c r="I180" s="25">
        <v>10.8</v>
      </c>
      <c r="J180" s="25">
        <v>3.4</v>
      </c>
      <c r="K180" s="25">
        <v>2.19</v>
      </c>
      <c r="L180" s="25">
        <v>8.1000000000000003E-2</v>
      </c>
      <c r="M180" s="33">
        <v>4.7E-2</v>
      </c>
      <c r="N180" s="24">
        <f t="shared" si="7"/>
        <v>7.6158096799999999</v>
      </c>
      <c r="O180" s="40"/>
      <c r="P180" s="24">
        <f t="shared" si="8"/>
        <v>1.5422127999999999</v>
      </c>
      <c r="Q180" s="24">
        <f t="shared" si="8"/>
        <v>0.99336647999999994</v>
      </c>
      <c r="R180" s="24">
        <f t="shared" si="8"/>
        <v>3.6740952E-2</v>
      </c>
      <c r="S180" s="24">
        <f t="shared" si="8"/>
        <v>2.1318824E-2</v>
      </c>
      <c r="T180" s="5">
        <v>27.9</v>
      </c>
      <c r="U180" s="24"/>
      <c r="V180" s="1">
        <v>60.1</v>
      </c>
      <c r="W180" s="1">
        <v>0.6</v>
      </c>
      <c r="X180" s="1">
        <v>0.34</v>
      </c>
      <c r="Y180" s="1">
        <v>7.8</v>
      </c>
      <c r="Z180" s="1">
        <v>0.28999999999999998</v>
      </c>
      <c r="AA180" s="6">
        <v>0.17</v>
      </c>
    </row>
    <row r="181" spans="1:27">
      <c r="A181" s="3"/>
      <c r="D181" s="15">
        <v>1400</v>
      </c>
      <c r="E181" s="1">
        <f>D181*$I$2</f>
        <v>635.02880000000005</v>
      </c>
      <c r="F181" s="25">
        <v>2</v>
      </c>
      <c r="G181" s="25">
        <f t="shared" si="9"/>
        <v>0.90718399999999999</v>
      </c>
      <c r="H181" s="32">
        <v>17.739999999999998</v>
      </c>
      <c r="I181" s="25">
        <v>11.4</v>
      </c>
      <c r="J181" s="25">
        <v>3.6</v>
      </c>
      <c r="K181" s="25">
        <v>2.2400000000000002</v>
      </c>
      <c r="L181" s="25">
        <v>8.2000000000000003E-2</v>
      </c>
      <c r="M181" s="33">
        <v>4.8000000000000001E-2</v>
      </c>
      <c r="N181" s="24">
        <f t="shared" si="7"/>
        <v>8.0467220799999986</v>
      </c>
      <c r="O181" s="40"/>
      <c r="P181" s="24">
        <f t="shared" si="8"/>
        <v>1.6329312</v>
      </c>
      <c r="Q181" s="24">
        <f t="shared" si="8"/>
        <v>1.0160460800000002</v>
      </c>
      <c r="R181" s="24">
        <f t="shared" si="8"/>
        <v>3.7194544000000003E-2</v>
      </c>
      <c r="S181" s="24">
        <f t="shared" si="8"/>
        <v>2.1772415999999999E-2</v>
      </c>
      <c r="T181" s="5">
        <v>29.5</v>
      </c>
      <c r="U181" s="24"/>
      <c r="V181" s="1">
        <v>60.1</v>
      </c>
      <c r="W181" s="1">
        <v>0.6</v>
      </c>
      <c r="X181" s="1">
        <v>0.34</v>
      </c>
      <c r="Y181" s="1">
        <v>7.6</v>
      </c>
      <c r="Z181" s="1">
        <v>0.28000000000000003</v>
      </c>
      <c r="AA181" s="6">
        <v>0.16</v>
      </c>
    </row>
    <row r="182" spans="1:27">
      <c r="A182" s="3"/>
      <c r="D182" s="15">
        <v>1500</v>
      </c>
      <c r="E182" s="1">
        <f>D182*$I$2</f>
        <v>680.38800000000003</v>
      </c>
      <c r="F182" s="25">
        <v>2</v>
      </c>
      <c r="G182" s="25">
        <f t="shared" si="9"/>
        <v>0.90718399999999999</v>
      </c>
      <c r="H182" s="32">
        <v>18.670000000000002</v>
      </c>
      <c r="I182" s="25">
        <v>12</v>
      </c>
      <c r="J182" s="25">
        <v>3.8</v>
      </c>
      <c r="K182" s="25">
        <v>2.29</v>
      </c>
      <c r="L182" s="25">
        <v>8.4000000000000005E-2</v>
      </c>
      <c r="M182" s="33">
        <v>0.05</v>
      </c>
      <c r="N182" s="24">
        <f t="shared" si="7"/>
        <v>8.46856264</v>
      </c>
      <c r="O182" s="40"/>
      <c r="P182" s="24">
        <f t="shared" si="8"/>
        <v>1.7236495999999999</v>
      </c>
      <c r="Q182" s="24">
        <f t="shared" si="8"/>
        <v>1.03872568</v>
      </c>
      <c r="R182" s="24">
        <f t="shared" si="8"/>
        <v>3.8101728000000001E-2</v>
      </c>
      <c r="S182" s="24">
        <f t="shared" si="8"/>
        <v>2.2679600000000001E-2</v>
      </c>
      <c r="T182" s="5">
        <v>31.1</v>
      </c>
      <c r="U182" s="24"/>
      <c r="V182" s="1">
        <v>60.1</v>
      </c>
      <c r="W182" s="1">
        <v>0.6</v>
      </c>
      <c r="X182" s="1">
        <v>0.34</v>
      </c>
      <c r="Y182" s="1">
        <v>7.4</v>
      </c>
      <c r="Z182" s="1">
        <v>0.27</v>
      </c>
      <c r="AA182" s="6">
        <v>0.16</v>
      </c>
    </row>
    <row r="183" spans="1:27">
      <c r="A183" s="3"/>
      <c r="D183" s="15">
        <v>1600</v>
      </c>
      <c r="E183" s="1">
        <f>D183*$I$2</f>
        <v>725.74720000000002</v>
      </c>
      <c r="F183" s="25">
        <v>2</v>
      </c>
      <c r="G183" s="25">
        <f t="shared" si="9"/>
        <v>0.90718399999999999</v>
      </c>
      <c r="H183" s="32">
        <v>19.600000000000001</v>
      </c>
      <c r="I183" s="25">
        <v>12.6</v>
      </c>
      <c r="J183" s="25">
        <v>3.9</v>
      </c>
      <c r="K183" s="25">
        <v>2.34</v>
      </c>
      <c r="L183" s="25">
        <v>8.5000000000000006E-2</v>
      </c>
      <c r="M183" s="33">
        <v>5.0999999999999997E-2</v>
      </c>
      <c r="N183" s="24">
        <f t="shared" si="7"/>
        <v>8.8904031999999997</v>
      </c>
      <c r="O183" s="40"/>
      <c r="P183" s="24">
        <f t="shared" si="8"/>
        <v>1.7690087999999999</v>
      </c>
      <c r="Q183" s="24">
        <f t="shared" si="8"/>
        <v>1.06140528</v>
      </c>
      <c r="R183" s="24">
        <f t="shared" si="8"/>
        <v>3.8555320000000004E-2</v>
      </c>
      <c r="S183" s="24">
        <f t="shared" si="8"/>
        <v>2.3133191999999997E-2</v>
      </c>
      <c r="T183" s="5">
        <v>32.6</v>
      </c>
      <c r="U183" s="24"/>
      <c r="V183" s="1">
        <v>60.1</v>
      </c>
      <c r="W183" s="1">
        <v>0.6</v>
      </c>
      <c r="X183" s="1">
        <v>0.34</v>
      </c>
      <c r="Y183" s="1">
        <v>7.2</v>
      </c>
      <c r="Z183" s="1">
        <v>0.26</v>
      </c>
      <c r="AA183" s="6">
        <v>0.16</v>
      </c>
    </row>
    <row r="184" spans="1:27">
      <c r="A184" s="3"/>
      <c r="D184" s="15">
        <v>1700</v>
      </c>
      <c r="E184" s="1">
        <f>D184*$I$2</f>
        <v>771.10640000000001</v>
      </c>
      <c r="F184" s="25">
        <v>2</v>
      </c>
      <c r="G184" s="25">
        <f t="shared" si="9"/>
        <v>0.90718399999999999</v>
      </c>
      <c r="H184" s="32">
        <v>20.52</v>
      </c>
      <c r="I184" s="25">
        <v>13.2</v>
      </c>
      <c r="J184" s="25">
        <v>4.0999999999999996</v>
      </c>
      <c r="K184" s="25">
        <v>2.39</v>
      </c>
      <c r="L184" s="25">
        <v>8.5999999999999993E-2</v>
      </c>
      <c r="M184" s="33">
        <v>5.2999999999999999E-2</v>
      </c>
      <c r="N184" s="24">
        <f t="shared" si="7"/>
        <v>9.3077078399999991</v>
      </c>
      <c r="O184" s="40"/>
      <c r="P184" s="24">
        <f t="shared" si="8"/>
        <v>1.8597271999999998</v>
      </c>
      <c r="Q184" s="24">
        <f t="shared" si="8"/>
        <v>1.08408488</v>
      </c>
      <c r="R184" s="24">
        <f t="shared" si="8"/>
        <v>3.9008912E-2</v>
      </c>
      <c r="S184" s="24">
        <f t="shared" si="8"/>
        <v>2.4040375999999999E-2</v>
      </c>
      <c r="T184" s="5">
        <v>34.1</v>
      </c>
      <c r="U184" s="24"/>
      <c r="V184" s="1">
        <v>60.1</v>
      </c>
      <c r="W184" s="1">
        <v>0.6</v>
      </c>
      <c r="X184" s="1">
        <v>0.34</v>
      </c>
      <c r="Y184" s="1">
        <v>7</v>
      </c>
      <c r="Z184" s="1">
        <v>0.25</v>
      </c>
      <c r="AA184" s="6">
        <v>0.16</v>
      </c>
    </row>
    <row r="185" spans="1:27">
      <c r="A185" s="3"/>
      <c r="D185" s="15">
        <v>1800</v>
      </c>
      <c r="E185" s="1">
        <f>D185*$I$2</f>
        <v>816.46559999999999</v>
      </c>
      <c r="F185" s="25">
        <v>2</v>
      </c>
      <c r="G185" s="25">
        <f t="shared" si="9"/>
        <v>0.90718399999999999</v>
      </c>
      <c r="H185" s="32">
        <v>21.43</v>
      </c>
      <c r="I185" s="25">
        <v>13.8</v>
      </c>
      <c r="J185" s="25">
        <v>4.3</v>
      </c>
      <c r="K185" s="25">
        <v>2.44</v>
      </c>
      <c r="L185" s="25">
        <v>8.7999999999999995E-2</v>
      </c>
      <c r="M185" s="33">
        <v>5.5E-2</v>
      </c>
      <c r="N185" s="24">
        <f t="shared" si="7"/>
        <v>9.7204765599999998</v>
      </c>
      <c r="O185" s="40"/>
      <c r="P185" s="24">
        <f t="shared" si="8"/>
        <v>1.9504455999999999</v>
      </c>
      <c r="Q185" s="24">
        <f t="shared" si="8"/>
        <v>1.1067644800000001</v>
      </c>
      <c r="R185" s="24">
        <f t="shared" si="8"/>
        <v>3.9916095999999998E-2</v>
      </c>
      <c r="S185" s="24">
        <f t="shared" si="8"/>
        <v>2.4947560000000001E-2</v>
      </c>
      <c r="T185" s="5">
        <v>35.6</v>
      </c>
      <c r="U185" s="24"/>
      <c r="V185" s="1">
        <v>60.1</v>
      </c>
      <c r="W185" s="1">
        <v>0.6</v>
      </c>
      <c r="X185" s="1">
        <v>0.34</v>
      </c>
      <c r="Y185" s="1">
        <v>6.9</v>
      </c>
      <c r="Z185" s="1">
        <v>0.25</v>
      </c>
      <c r="AA185" s="6">
        <v>0.15</v>
      </c>
    </row>
    <row r="186" spans="1:27">
      <c r="A186" s="3"/>
      <c r="D186" s="1">
        <v>900</v>
      </c>
      <c r="E186" s="1">
        <f>D186*$I$2</f>
        <v>408.2328</v>
      </c>
      <c r="F186" s="25">
        <v>2.5</v>
      </c>
      <c r="G186" s="25">
        <f t="shared" si="9"/>
        <v>1.13398</v>
      </c>
      <c r="H186" s="32">
        <v>13.41</v>
      </c>
      <c r="I186" s="25">
        <v>8.1999999999999993</v>
      </c>
      <c r="J186" s="25">
        <v>3.2</v>
      </c>
      <c r="K186" s="25">
        <v>2.17</v>
      </c>
      <c r="L186" s="25">
        <v>8.8999999999999996E-2</v>
      </c>
      <c r="M186" s="33">
        <v>4.4999999999999998E-2</v>
      </c>
      <c r="N186" s="24">
        <f t="shared" si="7"/>
        <v>6.08266872</v>
      </c>
      <c r="O186" s="40"/>
      <c r="P186" s="24">
        <f t="shared" si="8"/>
        <v>1.4514944000000001</v>
      </c>
      <c r="Q186" s="24">
        <f t="shared" si="8"/>
        <v>0.98429464</v>
      </c>
      <c r="R186" s="24">
        <f t="shared" si="8"/>
        <v>4.0369688000000001E-2</v>
      </c>
      <c r="S186" s="24">
        <f t="shared" si="8"/>
        <v>2.0411639999999998E-2</v>
      </c>
      <c r="T186" s="5">
        <v>21.2</v>
      </c>
      <c r="U186" s="24"/>
      <c r="V186" s="1">
        <v>63.3</v>
      </c>
      <c r="W186" s="1">
        <v>0.64</v>
      </c>
      <c r="X186" s="1">
        <v>0.38</v>
      </c>
      <c r="Y186" s="1">
        <v>10.199999999999999</v>
      </c>
      <c r="Z186" s="1">
        <v>0.42</v>
      </c>
      <c r="AA186" s="6">
        <v>0.21</v>
      </c>
    </row>
    <row r="187" spans="1:27">
      <c r="A187" s="3"/>
      <c r="D187" s="15">
        <v>1000</v>
      </c>
      <c r="E187" s="1">
        <f>D187*$I$2</f>
        <v>453.59199999999998</v>
      </c>
      <c r="F187" s="25">
        <v>2.5</v>
      </c>
      <c r="G187" s="25">
        <f t="shared" si="9"/>
        <v>1.13398</v>
      </c>
      <c r="H187" s="32">
        <v>14.52</v>
      </c>
      <c r="I187" s="25">
        <v>8.9</v>
      </c>
      <c r="J187" s="25">
        <v>3.5</v>
      </c>
      <c r="K187" s="25">
        <v>2.21</v>
      </c>
      <c r="L187" s="25">
        <v>8.8999999999999996E-2</v>
      </c>
      <c r="M187" s="33">
        <v>4.7E-2</v>
      </c>
      <c r="N187" s="24">
        <f t="shared" si="7"/>
        <v>6.58615584</v>
      </c>
      <c r="O187" s="40"/>
      <c r="P187" s="24">
        <f t="shared" si="8"/>
        <v>1.587572</v>
      </c>
      <c r="Q187" s="24">
        <f t="shared" si="8"/>
        <v>1.00243832</v>
      </c>
      <c r="R187" s="24">
        <f t="shared" si="8"/>
        <v>4.0369688000000001E-2</v>
      </c>
      <c r="S187" s="24">
        <f t="shared" si="8"/>
        <v>2.1318824E-2</v>
      </c>
      <c r="T187" s="5">
        <v>22.9</v>
      </c>
      <c r="U187" s="24"/>
      <c r="V187" s="1">
        <v>63.3</v>
      </c>
      <c r="W187" s="1">
        <v>0.65</v>
      </c>
      <c r="X187" s="1">
        <v>0.38</v>
      </c>
      <c r="Y187" s="1">
        <v>9.6999999999999993</v>
      </c>
      <c r="Z187" s="1">
        <v>0.39</v>
      </c>
      <c r="AA187" s="6">
        <v>0.2</v>
      </c>
    </row>
    <row r="188" spans="1:27">
      <c r="A188" s="3"/>
      <c r="D188" s="15">
        <v>1100</v>
      </c>
      <c r="E188" s="1">
        <f>D188*$I$2</f>
        <v>498.95119999999997</v>
      </c>
      <c r="F188" s="25">
        <v>2.5</v>
      </c>
      <c r="G188" s="25">
        <f t="shared" si="9"/>
        <v>1.13398</v>
      </c>
      <c r="H188" s="32">
        <v>15.56</v>
      </c>
      <c r="I188" s="25">
        <v>9.5</v>
      </c>
      <c r="J188" s="25">
        <v>3.7</v>
      </c>
      <c r="K188" s="25">
        <v>2.2599999999999998</v>
      </c>
      <c r="L188" s="25">
        <v>0.09</v>
      </c>
      <c r="M188" s="33">
        <v>4.8000000000000001E-2</v>
      </c>
      <c r="N188" s="24">
        <f t="shared" si="7"/>
        <v>7.0578915200000001</v>
      </c>
      <c r="O188" s="40"/>
      <c r="P188" s="24">
        <f t="shared" si="8"/>
        <v>1.6782904000000001</v>
      </c>
      <c r="Q188" s="24">
        <f t="shared" si="8"/>
        <v>1.0251179199999998</v>
      </c>
      <c r="R188" s="24">
        <f t="shared" si="8"/>
        <v>4.0823279999999997E-2</v>
      </c>
      <c r="S188" s="24">
        <f t="shared" si="8"/>
        <v>2.1772415999999999E-2</v>
      </c>
      <c r="T188" s="5">
        <v>24.6</v>
      </c>
      <c r="U188" s="24"/>
      <c r="V188" s="1">
        <v>63.2</v>
      </c>
      <c r="W188" s="1">
        <v>0.64</v>
      </c>
      <c r="X188" s="1">
        <v>0.38</v>
      </c>
      <c r="Y188" s="1">
        <v>9.1999999999999993</v>
      </c>
      <c r="Z188" s="1">
        <v>0.36</v>
      </c>
      <c r="AA188" s="6">
        <v>0.19</v>
      </c>
    </row>
    <row r="189" spans="1:27">
      <c r="A189" s="3"/>
      <c r="D189" s="15">
        <v>1200</v>
      </c>
      <c r="E189" s="1">
        <f>D189*$I$2</f>
        <v>544.31039999999996</v>
      </c>
      <c r="F189" s="25">
        <v>2.5</v>
      </c>
      <c r="G189" s="25">
        <f t="shared" si="9"/>
        <v>1.13398</v>
      </c>
      <c r="H189" s="32">
        <v>16.649999999999999</v>
      </c>
      <c r="I189" s="25">
        <v>10.199999999999999</v>
      </c>
      <c r="J189" s="25">
        <v>4</v>
      </c>
      <c r="K189" s="25">
        <v>2.31</v>
      </c>
      <c r="L189" s="25">
        <v>0.09</v>
      </c>
      <c r="M189" s="33">
        <v>4.9000000000000002E-2</v>
      </c>
      <c r="N189" s="24">
        <f t="shared" si="7"/>
        <v>7.5523067999999993</v>
      </c>
      <c r="O189" s="40"/>
      <c r="P189" s="24">
        <f t="shared" si="8"/>
        <v>1.814368</v>
      </c>
      <c r="Q189" s="24">
        <f t="shared" si="8"/>
        <v>1.04779752</v>
      </c>
      <c r="R189" s="24">
        <f t="shared" si="8"/>
        <v>4.0823279999999997E-2</v>
      </c>
      <c r="S189" s="24">
        <f t="shared" si="8"/>
        <v>2.2226008000000002E-2</v>
      </c>
      <c r="T189" s="5">
        <v>26.3</v>
      </c>
      <c r="U189" s="24"/>
      <c r="V189" s="1">
        <v>63.3</v>
      </c>
      <c r="W189" s="1">
        <v>0.65</v>
      </c>
      <c r="X189" s="1">
        <v>0.38</v>
      </c>
      <c r="Y189" s="1">
        <v>8.8000000000000007</v>
      </c>
      <c r="Z189" s="1">
        <v>0.34</v>
      </c>
      <c r="AA189" s="6">
        <v>0.19</v>
      </c>
    </row>
    <row r="190" spans="1:27">
      <c r="A190" s="3"/>
      <c r="D190" s="15">
        <v>1300</v>
      </c>
      <c r="E190" s="1">
        <f>D190*$I$2</f>
        <v>589.66959999999995</v>
      </c>
      <c r="F190" s="25">
        <v>2.5</v>
      </c>
      <c r="G190" s="25">
        <f t="shared" si="9"/>
        <v>1.13398</v>
      </c>
      <c r="H190" s="32">
        <v>17.66</v>
      </c>
      <c r="I190" s="25">
        <v>10.8</v>
      </c>
      <c r="J190" s="25">
        <v>4.2</v>
      </c>
      <c r="K190" s="25">
        <v>2.35</v>
      </c>
      <c r="L190" s="25">
        <v>9.0999999999999998E-2</v>
      </c>
      <c r="M190" s="33">
        <v>5.0999999999999997E-2</v>
      </c>
      <c r="N190" s="24">
        <f t="shared" si="7"/>
        <v>8.0104347199999992</v>
      </c>
      <c r="O190" s="40"/>
      <c r="P190" s="24">
        <f t="shared" si="8"/>
        <v>1.9050864000000001</v>
      </c>
      <c r="Q190" s="24">
        <f t="shared" si="8"/>
        <v>1.0659411999999999</v>
      </c>
      <c r="R190" s="24">
        <f t="shared" si="8"/>
        <v>4.1276871999999999E-2</v>
      </c>
      <c r="S190" s="24">
        <f t="shared" si="8"/>
        <v>2.3133191999999997E-2</v>
      </c>
      <c r="T190" s="5">
        <v>27.9</v>
      </c>
      <c r="U190" s="24"/>
      <c r="V190" s="1">
        <v>63.3</v>
      </c>
      <c r="W190" s="1">
        <v>0.64</v>
      </c>
      <c r="X190" s="1">
        <v>0.38</v>
      </c>
      <c r="Y190" s="1">
        <v>8.4</v>
      </c>
      <c r="Z190" s="1">
        <v>0.33</v>
      </c>
      <c r="AA190" s="6">
        <v>0.18</v>
      </c>
    </row>
    <row r="191" spans="1:27">
      <c r="A191" s="3"/>
      <c r="D191" s="15">
        <v>1400</v>
      </c>
      <c r="E191" s="1">
        <f>D191*$I$2</f>
        <v>635.02880000000005</v>
      </c>
      <c r="F191" s="25">
        <v>2.5</v>
      </c>
      <c r="G191" s="25">
        <f t="shared" si="9"/>
        <v>1.13398</v>
      </c>
      <c r="H191" s="32">
        <v>18.66</v>
      </c>
      <c r="I191" s="25">
        <v>11.4</v>
      </c>
      <c r="J191" s="25">
        <v>4.4000000000000004</v>
      </c>
      <c r="K191" s="25">
        <v>2.4</v>
      </c>
      <c r="L191" s="25">
        <v>9.1999999999999998E-2</v>
      </c>
      <c r="M191" s="33">
        <v>5.1999999999999998E-2</v>
      </c>
      <c r="N191" s="24">
        <f t="shared" si="7"/>
        <v>8.4640267199999997</v>
      </c>
      <c r="O191" s="40"/>
      <c r="P191" s="24">
        <f t="shared" si="8"/>
        <v>1.9958048000000002</v>
      </c>
      <c r="Q191" s="24">
        <f t="shared" si="8"/>
        <v>1.0886207999999999</v>
      </c>
      <c r="R191" s="24">
        <f t="shared" si="8"/>
        <v>4.1730464000000002E-2</v>
      </c>
      <c r="S191" s="24">
        <f t="shared" si="8"/>
        <v>2.3586784E-2</v>
      </c>
      <c r="T191" s="5">
        <v>29.5</v>
      </c>
      <c r="U191" s="24"/>
      <c r="V191" s="1">
        <v>63.2</v>
      </c>
      <c r="W191" s="1">
        <v>0.64</v>
      </c>
      <c r="X191" s="1">
        <v>0.38</v>
      </c>
      <c r="Y191" s="1">
        <v>8.1</v>
      </c>
      <c r="Z191" s="1">
        <v>0.31</v>
      </c>
      <c r="AA191" s="6">
        <v>0.18</v>
      </c>
    </row>
    <row r="192" spans="1:27">
      <c r="A192" s="3"/>
      <c r="D192" s="15">
        <v>1500</v>
      </c>
      <c r="E192" s="1">
        <f>D192*$I$2</f>
        <v>680.38800000000003</v>
      </c>
      <c r="F192" s="25">
        <v>2.5</v>
      </c>
      <c r="G192" s="25">
        <f t="shared" si="9"/>
        <v>1.13398</v>
      </c>
      <c r="H192" s="32">
        <v>19.64</v>
      </c>
      <c r="I192" s="25">
        <v>12</v>
      </c>
      <c r="J192" s="25">
        <v>4.7</v>
      </c>
      <c r="K192" s="25">
        <v>2.44</v>
      </c>
      <c r="L192" s="25">
        <v>9.2999999999999999E-2</v>
      </c>
      <c r="M192" s="33">
        <v>5.2999999999999999E-2</v>
      </c>
      <c r="N192" s="24">
        <f t="shared" si="7"/>
        <v>8.9085468799999994</v>
      </c>
      <c r="O192" s="40"/>
      <c r="P192" s="24">
        <f t="shared" si="8"/>
        <v>2.1318823999999998</v>
      </c>
      <c r="Q192" s="24">
        <f t="shared" si="8"/>
        <v>1.1067644800000001</v>
      </c>
      <c r="R192" s="24">
        <f t="shared" si="8"/>
        <v>4.2184055999999998E-2</v>
      </c>
      <c r="S192" s="24">
        <f t="shared" si="8"/>
        <v>2.4040375999999999E-2</v>
      </c>
      <c r="T192" s="5">
        <v>31.1</v>
      </c>
      <c r="U192" s="24"/>
      <c r="V192" s="1">
        <v>63.2</v>
      </c>
      <c r="W192" s="1">
        <v>0.64</v>
      </c>
      <c r="X192" s="1">
        <v>0.38</v>
      </c>
      <c r="Y192" s="1">
        <v>7.9</v>
      </c>
      <c r="Z192" s="1">
        <v>0.3</v>
      </c>
      <c r="AA192" s="6">
        <v>0.17</v>
      </c>
    </row>
    <row r="193" spans="1:27">
      <c r="A193" s="3"/>
      <c r="D193" s="15">
        <v>1600</v>
      </c>
      <c r="E193" s="1">
        <f>D193*$I$2</f>
        <v>725.74720000000002</v>
      </c>
      <c r="F193" s="25">
        <v>2.5</v>
      </c>
      <c r="G193" s="25">
        <f t="shared" si="9"/>
        <v>1.13398</v>
      </c>
      <c r="H193" s="32">
        <v>20.63</v>
      </c>
      <c r="I193" s="25">
        <v>12.6</v>
      </c>
      <c r="J193" s="25">
        <v>4.9000000000000004</v>
      </c>
      <c r="K193" s="25">
        <v>2.4900000000000002</v>
      </c>
      <c r="L193" s="25">
        <v>9.2999999999999999E-2</v>
      </c>
      <c r="M193" s="33">
        <v>5.5E-2</v>
      </c>
      <c r="N193" s="24">
        <f t="shared" si="7"/>
        <v>9.3576029599999995</v>
      </c>
      <c r="O193" s="40"/>
      <c r="P193" s="24">
        <f t="shared" si="8"/>
        <v>2.2226007999999999</v>
      </c>
      <c r="Q193" s="24">
        <f t="shared" si="8"/>
        <v>1.1294440800000001</v>
      </c>
      <c r="R193" s="24">
        <f t="shared" si="8"/>
        <v>4.2184055999999998E-2</v>
      </c>
      <c r="S193" s="24">
        <f t="shared" si="8"/>
        <v>2.4947560000000001E-2</v>
      </c>
      <c r="T193" s="5">
        <v>32.6</v>
      </c>
      <c r="U193" s="24"/>
      <c r="V193" s="1">
        <v>63.2</v>
      </c>
      <c r="W193" s="1">
        <v>0.64</v>
      </c>
      <c r="X193" s="1">
        <v>0.38</v>
      </c>
      <c r="Y193" s="1">
        <v>7.6</v>
      </c>
      <c r="Z193" s="1">
        <v>0.28999999999999998</v>
      </c>
      <c r="AA193" s="6">
        <v>0.17</v>
      </c>
    </row>
    <row r="194" spans="1:27">
      <c r="A194" s="3"/>
      <c r="D194" s="15">
        <v>1700</v>
      </c>
      <c r="E194" s="1">
        <f>D194*$I$2</f>
        <v>771.10640000000001</v>
      </c>
      <c r="F194" s="25">
        <v>2.5</v>
      </c>
      <c r="G194" s="25">
        <f t="shared" si="9"/>
        <v>1.13398</v>
      </c>
      <c r="H194" s="32">
        <v>21.59</v>
      </c>
      <c r="I194" s="25">
        <v>13.2</v>
      </c>
      <c r="J194" s="25">
        <v>5.0999999999999996</v>
      </c>
      <c r="K194" s="25">
        <v>2.5299999999999998</v>
      </c>
      <c r="L194" s="25">
        <v>9.4E-2</v>
      </c>
      <c r="M194" s="33">
        <v>5.6000000000000001E-2</v>
      </c>
      <c r="N194" s="24">
        <f t="shared" si="7"/>
        <v>9.7930512800000002</v>
      </c>
      <c r="O194" s="40"/>
      <c r="P194" s="24">
        <f t="shared" si="8"/>
        <v>2.3133192</v>
      </c>
      <c r="Q194" s="24">
        <f t="shared" si="8"/>
        <v>1.14758776</v>
      </c>
      <c r="R194" s="24">
        <f t="shared" si="8"/>
        <v>4.2637648E-2</v>
      </c>
      <c r="S194" s="24">
        <f t="shared" si="8"/>
        <v>2.5401152E-2</v>
      </c>
      <c r="T194" s="5">
        <v>34.1</v>
      </c>
      <c r="U194" s="24"/>
      <c r="V194" s="1">
        <v>63.2</v>
      </c>
      <c r="W194" s="1">
        <v>0.64</v>
      </c>
      <c r="X194" s="1">
        <v>0.38</v>
      </c>
      <c r="Y194" s="1">
        <v>7.4</v>
      </c>
      <c r="Z194" s="1">
        <v>0.28000000000000003</v>
      </c>
      <c r="AA194" s="6">
        <v>0.16</v>
      </c>
    </row>
    <row r="195" spans="1:27">
      <c r="A195" s="3"/>
      <c r="D195" s="15">
        <v>1800</v>
      </c>
      <c r="E195" s="1">
        <f>D195*$I$2</f>
        <v>816.46559999999999</v>
      </c>
      <c r="F195" s="25">
        <v>2.5</v>
      </c>
      <c r="G195" s="25">
        <f t="shared" si="9"/>
        <v>1.13398</v>
      </c>
      <c r="H195" s="32">
        <v>22.55</v>
      </c>
      <c r="I195" s="25">
        <v>13.8</v>
      </c>
      <c r="J195" s="25">
        <v>5.3</v>
      </c>
      <c r="K195" s="25">
        <v>2.57</v>
      </c>
      <c r="L195" s="25">
        <v>9.5000000000000001E-2</v>
      </c>
      <c r="M195" s="33">
        <v>5.8000000000000003E-2</v>
      </c>
      <c r="N195" s="24">
        <f t="shared" si="7"/>
        <v>10.228499600000001</v>
      </c>
      <c r="O195" s="40"/>
      <c r="P195" s="24">
        <f t="shared" si="8"/>
        <v>2.4040376000000001</v>
      </c>
      <c r="Q195" s="24">
        <f t="shared" si="8"/>
        <v>1.1657314399999998</v>
      </c>
      <c r="R195" s="24">
        <f t="shared" si="8"/>
        <v>4.3091240000000003E-2</v>
      </c>
      <c r="S195" s="24">
        <f t="shared" si="8"/>
        <v>2.6308336000000002E-2</v>
      </c>
      <c r="T195" s="5">
        <v>35.6</v>
      </c>
      <c r="U195" s="24"/>
      <c r="V195" s="1">
        <v>63.3</v>
      </c>
      <c r="W195" s="1">
        <v>0.64</v>
      </c>
      <c r="X195" s="1">
        <v>0.38</v>
      </c>
      <c r="Y195" s="1">
        <v>7.2</v>
      </c>
      <c r="Z195" s="1">
        <v>0.27</v>
      </c>
      <c r="AA195" s="6">
        <v>0.16</v>
      </c>
    </row>
    <row r="196" spans="1:27">
      <c r="A196" s="3"/>
      <c r="D196" s="1">
        <v>900</v>
      </c>
      <c r="E196" s="1">
        <f>D196*$I$2</f>
        <v>408.2328</v>
      </c>
      <c r="F196" s="25">
        <v>3</v>
      </c>
      <c r="G196" s="25">
        <f t="shared" si="9"/>
        <v>1.360776</v>
      </c>
      <c r="H196" s="32">
        <v>14.04</v>
      </c>
      <c r="I196" s="25">
        <v>8.1999999999999993</v>
      </c>
      <c r="J196" s="25">
        <v>3.9</v>
      </c>
      <c r="K196" s="25">
        <v>2.37</v>
      </c>
      <c r="L196" s="25">
        <v>0.1</v>
      </c>
      <c r="M196" s="33">
        <v>0.05</v>
      </c>
      <c r="N196" s="24">
        <f t="shared" si="7"/>
        <v>6.3684316799999996</v>
      </c>
      <c r="O196" s="40"/>
      <c r="P196" s="24">
        <f t="shared" si="8"/>
        <v>1.7690087999999999</v>
      </c>
      <c r="Q196" s="24">
        <f t="shared" si="8"/>
        <v>1.07501304</v>
      </c>
      <c r="R196" s="24">
        <f t="shared" si="8"/>
        <v>4.5359200000000002E-2</v>
      </c>
      <c r="S196" s="24">
        <f t="shared" si="8"/>
        <v>2.2679600000000001E-2</v>
      </c>
      <c r="T196" s="5">
        <v>21.1</v>
      </c>
      <c r="U196" s="24"/>
      <c r="V196" s="1">
        <v>66.599999999999994</v>
      </c>
      <c r="W196" s="1">
        <v>0.69</v>
      </c>
      <c r="X196" s="1">
        <v>0.42</v>
      </c>
      <c r="Y196" s="1">
        <v>11.2</v>
      </c>
      <c r="Z196" s="1">
        <v>0.48</v>
      </c>
      <c r="AA196" s="6">
        <v>0.24</v>
      </c>
    </row>
    <row r="197" spans="1:27">
      <c r="A197" s="3"/>
      <c r="D197" s="15">
        <v>1000</v>
      </c>
      <c r="E197" s="1">
        <f>D197*$I$2</f>
        <v>453.59199999999998</v>
      </c>
      <c r="F197" s="25">
        <v>3</v>
      </c>
      <c r="G197" s="25">
        <f t="shared" si="9"/>
        <v>1.360776</v>
      </c>
      <c r="H197" s="32">
        <v>15.2</v>
      </c>
      <c r="I197" s="25">
        <v>8.9</v>
      </c>
      <c r="J197" s="25">
        <v>4.2</v>
      </c>
      <c r="K197" s="25">
        <v>2.41</v>
      </c>
      <c r="L197" s="25">
        <v>0.1</v>
      </c>
      <c r="M197" s="33">
        <v>5.0999999999999997E-2</v>
      </c>
      <c r="N197" s="24">
        <f t="shared" si="7"/>
        <v>6.8945983999999996</v>
      </c>
      <c r="O197" s="40"/>
      <c r="P197" s="24">
        <f t="shared" si="8"/>
        <v>1.9050864000000001</v>
      </c>
      <c r="Q197" s="24">
        <f t="shared" si="8"/>
        <v>1.0931567200000001</v>
      </c>
      <c r="R197" s="24">
        <f t="shared" si="8"/>
        <v>4.5359200000000002E-2</v>
      </c>
      <c r="S197" s="24">
        <f t="shared" si="8"/>
        <v>2.3133191999999997E-2</v>
      </c>
      <c r="T197" s="5">
        <v>22.8</v>
      </c>
      <c r="U197" s="24"/>
      <c r="V197" s="1">
        <v>66.7</v>
      </c>
      <c r="W197" s="1">
        <v>0.69</v>
      </c>
      <c r="X197" s="1">
        <v>0.42</v>
      </c>
      <c r="Y197" s="1">
        <v>10.6</v>
      </c>
      <c r="Z197" s="1">
        <v>0.44</v>
      </c>
      <c r="AA197" s="6">
        <v>0.22</v>
      </c>
    </row>
    <row r="198" spans="1:27">
      <c r="A198" s="3"/>
      <c r="D198" s="15">
        <v>1100</v>
      </c>
      <c r="E198" s="1">
        <f>D198*$I$2</f>
        <v>498.95119999999997</v>
      </c>
      <c r="F198" s="25">
        <v>3</v>
      </c>
      <c r="G198" s="25">
        <f t="shared" si="9"/>
        <v>1.360776</v>
      </c>
      <c r="H198" s="32">
        <v>16.29</v>
      </c>
      <c r="I198" s="25">
        <v>9.5</v>
      </c>
      <c r="J198" s="25">
        <v>4.5</v>
      </c>
      <c r="K198" s="25">
        <v>2.4500000000000002</v>
      </c>
      <c r="L198" s="25">
        <v>0.1</v>
      </c>
      <c r="M198" s="33">
        <v>5.1999999999999998E-2</v>
      </c>
      <c r="N198" s="24">
        <f t="shared" si="7"/>
        <v>7.3890136799999997</v>
      </c>
      <c r="O198" s="40"/>
      <c r="P198" s="24">
        <f t="shared" si="8"/>
        <v>2.0411640000000002</v>
      </c>
      <c r="Q198" s="24">
        <f t="shared" si="8"/>
        <v>1.1113004</v>
      </c>
      <c r="R198" s="24">
        <f t="shared" si="8"/>
        <v>4.5359200000000002E-2</v>
      </c>
      <c r="S198" s="24">
        <f t="shared" ref="S198:S261" si="10">M198*$I$2</f>
        <v>2.3586784E-2</v>
      </c>
      <c r="T198" s="5">
        <v>24.5</v>
      </c>
      <c r="U198" s="24"/>
      <c r="V198" s="1">
        <v>66.5</v>
      </c>
      <c r="W198" s="1">
        <v>0.69</v>
      </c>
      <c r="X198" s="1">
        <v>0.42</v>
      </c>
      <c r="Y198" s="1">
        <v>10</v>
      </c>
      <c r="Z198" s="1">
        <v>0.41</v>
      </c>
      <c r="AA198" s="6">
        <v>0.21</v>
      </c>
    </row>
    <row r="199" spans="1:27">
      <c r="A199" s="3"/>
      <c r="D199" s="15">
        <v>1200</v>
      </c>
      <c r="E199" s="1">
        <f>D199*$I$2</f>
        <v>544.31039999999996</v>
      </c>
      <c r="F199" s="25">
        <v>3</v>
      </c>
      <c r="G199" s="25">
        <f t="shared" si="9"/>
        <v>1.360776</v>
      </c>
      <c r="H199" s="32">
        <v>17.43</v>
      </c>
      <c r="I199" s="25">
        <v>10.199999999999999</v>
      </c>
      <c r="J199" s="25">
        <v>4.8</v>
      </c>
      <c r="K199" s="25">
        <v>2.48</v>
      </c>
      <c r="L199" s="25">
        <v>0.1</v>
      </c>
      <c r="M199" s="33">
        <v>5.2999999999999999E-2</v>
      </c>
      <c r="N199" s="24">
        <f t="shared" ref="N199:N220" si="11">H199*$I$2</f>
        <v>7.9061085599999998</v>
      </c>
      <c r="O199" s="40"/>
      <c r="P199" s="24">
        <f t="shared" ref="P199:R220" si="12">J199*$I$2</f>
        <v>2.1772415999999999</v>
      </c>
      <c r="Q199" s="24">
        <f t="shared" si="12"/>
        <v>1.1249081599999999</v>
      </c>
      <c r="R199" s="24">
        <f t="shared" si="12"/>
        <v>4.5359200000000002E-2</v>
      </c>
      <c r="S199" s="24">
        <f t="shared" si="10"/>
        <v>2.4040375999999999E-2</v>
      </c>
      <c r="T199" s="5">
        <v>26.1</v>
      </c>
      <c r="U199" s="24"/>
      <c r="V199" s="1">
        <v>66.7</v>
      </c>
      <c r="W199" s="1">
        <v>0.69</v>
      </c>
      <c r="X199" s="1">
        <v>0.42</v>
      </c>
      <c r="Y199" s="1">
        <v>9.5</v>
      </c>
      <c r="Z199" s="1">
        <v>0.38</v>
      </c>
      <c r="AA199" s="6">
        <v>0.2</v>
      </c>
    </row>
    <row r="200" spans="1:27">
      <c r="A200" s="3"/>
      <c r="D200" s="15">
        <v>1300</v>
      </c>
      <c r="E200" s="1">
        <f>D200*$I$2</f>
        <v>589.66959999999995</v>
      </c>
      <c r="F200" s="25">
        <v>3</v>
      </c>
      <c r="G200" s="25">
        <f t="shared" si="9"/>
        <v>1.360776</v>
      </c>
      <c r="H200" s="32">
        <v>18.489999999999998</v>
      </c>
      <c r="I200" s="25">
        <v>10.8</v>
      </c>
      <c r="J200" s="25">
        <v>5.0999999999999996</v>
      </c>
      <c r="K200" s="25">
        <v>2.52</v>
      </c>
      <c r="L200" s="25">
        <v>0.10100000000000001</v>
      </c>
      <c r="M200" s="33">
        <v>5.5E-2</v>
      </c>
      <c r="N200" s="24">
        <f t="shared" si="11"/>
        <v>8.3869160799999989</v>
      </c>
      <c r="O200" s="40"/>
      <c r="P200" s="24">
        <f t="shared" si="12"/>
        <v>2.3133192</v>
      </c>
      <c r="Q200" s="24">
        <f t="shared" si="12"/>
        <v>1.14305184</v>
      </c>
      <c r="R200" s="24">
        <f t="shared" si="12"/>
        <v>4.5812792000000005E-2</v>
      </c>
      <c r="S200" s="24">
        <f t="shared" si="10"/>
        <v>2.4947560000000001E-2</v>
      </c>
      <c r="T200" s="5">
        <v>27.7</v>
      </c>
      <c r="U200" s="24"/>
      <c r="V200" s="1">
        <v>66.599999999999994</v>
      </c>
      <c r="W200" s="1">
        <v>0.69</v>
      </c>
      <c r="X200" s="1">
        <v>0.42</v>
      </c>
      <c r="Y200" s="1">
        <v>9.1</v>
      </c>
      <c r="Z200" s="1">
        <v>0.36</v>
      </c>
      <c r="AA200" s="6">
        <v>0.2</v>
      </c>
    </row>
    <row r="201" spans="1:27">
      <c r="A201" s="3"/>
      <c r="D201" s="15">
        <v>1400</v>
      </c>
      <c r="E201" s="1">
        <f>D201*$I$2</f>
        <v>635.02880000000005</v>
      </c>
      <c r="F201" s="25">
        <v>3</v>
      </c>
      <c r="G201" s="25">
        <f t="shared" si="9"/>
        <v>1.360776</v>
      </c>
      <c r="H201" s="32">
        <v>19.54</v>
      </c>
      <c r="I201" s="25">
        <v>11.4</v>
      </c>
      <c r="J201" s="25">
        <v>5.4</v>
      </c>
      <c r="K201" s="25">
        <v>2.56</v>
      </c>
      <c r="L201" s="25">
        <v>0.10100000000000001</v>
      </c>
      <c r="M201" s="33">
        <v>5.6000000000000001E-2</v>
      </c>
      <c r="N201" s="24">
        <f t="shared" si="11"/>
        <v>8.8631876799999993</v>
      </c>
      <c r="O201" s="40"/>
      <c r="P201" s="24">
        <f t="shared" si="12"/>
        <v>2.4493968000000002</v>
      </c>
      <c r="Q201" s="24">
        <f t="shared" si="12"/>
        <v>1.1611955199999999</v>
      </c>
      <c r="R201" s="24">
        <f t="shared" si="12"/>
        <v>4.5812792000000005E-2</v>
      </c>
      <c r="S201" s="24">
        <f t="shared" si="10"/>
        <v>2.5401152E-2</v>
      </c>
      <c r="T201" s="5">
        <v>29.3</v>
      </c>
      <c r="U201" s="24"/>
      <c r="V201" s="1">
        <v>66.599999999999994</v>
      </c>
      <c r="W201" s="1">
        <v>0.69</v>
      </c>
      <c r="X201" s="1">
        <v>0.42</v>
      </c>
      <c r="Y201" s="1">
        <v>8.6999999999999993</v>
      </c>
      <c r="Z201" s="1">
        <v>0.34</v>
      </c>
      <c r="AA201" s="6">
        <v>0.19</v>
      </c>
    </row>
    <row r="202" spans="1:27">
      <c r="A202" s="3"/>
      <c r="D202" s="15">
        <v>1500</v>
      </c>
      <c r="E202" s="1">
        <f>D202*$I$2</f>
        <v>680.38800000000003</v>
      </c>
      <c r="F202" s="25">
        <v>3</v>
      </c>
      <c r="G202" s="25">
        <f t="shared" si="9"/>
        <v>1.360776</v>
      </c>
      <c r="H202" s="32">
        <v>20.58</v>
      </c>
      <c r="I202" s="25">
        <v>12</v>
      </c>
      <c r="J202" s="25">
        <v>5.7</v>
      </c>
      <c r="K202" s="25">
        <v>2.59</v>
      </c>
      <c r="L202" s="25">
        <v>0.10100000000000001</v>
      </c>
      <c r="M202" s="33">
        <v>5.7000000000000002E-2</v>
      </c>
      <c r="N202" s="24">
        <f t="shared" si="11"/>
        <v>9.3349233599999994</v>
      </c>
      <c r="O202" s="40"/>
      <c r="P202" s="24">
        <f t="shared" si="12"/>
        <v>2.5854743999999998</v>
      </c>
      <c r="Q202" s="24">
        <f t="shared" si="12"/>
        <v>1.1748032799999999</v>
      </c>
      <c r="R202" s="24">
        <f t="shared" si="12"/>
        <v>4.5812792000000005E-2</v>
      </c>
      <c r="S202" s="24">
        <f t="shared" si="10"/>
        <v>2.5854743999999999E-2</v>
      </c>
      <c r="T202" s="5">
        <v>30.9</v>
      </c>
      <c r="U202" s="24"/>
      <c r="V202" s="1">
        <v>66.599999999999994</v>
      </c>
      <c r="W202" s="1">
        <v>0.69</v>
      </c>
      <c r="X202" s="1">
        <v>0.42</v>
      </c>
      <c r="Y202" s="1">
        <v>8.4</v>
      </c>
      <c r="Z202" s="1">
        <v>0.33</v>
      </c>
      <c r="AA202" s="6">
        <v>0.18</v>
      </c>
    </row>
    <row r="203" spans="1:27">
      <c r="A203" s="3"/>
      <c r="D203" s="15">
        <v>1600</v>
      </c>
      <c r="E203" s="1">
        <f>D203*$I$2</f>
        <v>725.74720000000002</v>
      </c>
      <c r="F203" s="25">
        <v>3</v>
      </c>
      <c r="G203" s="25">
        <f t="shared" si="9"/>
        <v>1.360776</v>
      </c>
      <c r="H203" s="32">
        <v>21.59</v>
      </c>
      <c r="I203" s="25">
        <v>12.6</v>
      </c>
      <c r="J203" s="25">
        <v>5.9</v>
      </c>
      <c r="K203" s="25">
        <v>2.63</v>
      </c>
      <c r="L203" s="25">
        <v>0.10199999999999999</v>
      </c>
      <c r="M203" s="33">
        <v>5.8000000000000003E-2</v>
      </c>
      <c r="N203" s="24">
        <f t="shared" si="11"/>
        <v>9.7930512800000002</v>
      </c>
      <c r="O203" s="40"/>
      <c r="P203" s="24">
        <f t="shared" si="12"/>
        <v>2.6761927999999999</v>
      </c>
      <c r="Q203" s="24">
        <f t="shared" si="12"/>
        <v>1.19294696</v>
      </c>
      <c r="R203" s="24">
        <f t="shared" si="12"/>
        <v>4.6266383999999994E-2</v>
      </c>
      <c r="S203" s="24">
        <f t="shared" si="10"/>
        <v>2.6308336000000002E-2</v>
      </c>
      <c r="T203" s="5">
        <v>32.4</v>
      </c>
      <c r="U203" s="24"/>
      <c r="V203" s="1">
        <v>66.599999999999994</v>
      </c>
      <c r="W203" s="1">
        <v>0.69</v>
      </c>
      <c r="X203" s="1">
        <v>0.42</v>
      </c>
      <c r="Y203" s="1">
        <v>8.1</v>
      </c>
      <c r="Z203" s="1">
        <v>0.31</v>
      </c>
      <c r="AA203" s="6">
        <v>0.18</v>
      </c>
    </row>
    <row r="204" spans="1:27">
      <c r="A204" s="3"/>
      <c r="D204" s="15">
        <v>1700</v>
      </c>
      <c r="E204" s="1">
        <f>D204*$I$2</f>
        <v>771.10640000000001</v>
      </c>
      <c r="F204" s="25">
        <v>3</v>
      </c>
      <c r="G204" s="25">
        <f t="shared" si="9"/>
        <v>1.360776</v>
      </c>
      <c r="H204" s="32">
        <v>22.61</v>
      </c>
      <c r="I204" s="25">
        <v>13.2</v>
      </c>
      <c r="J204" s="25">
        <v>6.2</v>
      </c>
      <c r="K204" s="25">
        <v>2.66</v>
      </c>
      <c r="L204" s="25">
        <v>0.10199999999999999</v>
      </c>
      <c r="M204" s="33">
        <v>5.8999999999999997E-2</v>
      </c>
      <c r="N204" s="24">
        <f t="shared" si="11"/>
        <v>10.25571512</v>
      </c>
      <c r="O204" s="40"/>
      <c r="P204" s="24">
        <f t="shared" si="12"/>
        <v>2.8122704000000001</v>
      </c>
      <c r="Q204" s="24">
        <f t="shared" si="12"/>
        <v>1.20655472</v>
      </c>
      <c r="R204" s="24">
        <f t="shared" si="12"/>
        <v>4.6266383999999994E-2</v>
      </c>
      <c r="S204" s="24">
        <f t="shared" si="10"/>
        <v>2.6761927999999997E-2</v>
      </c>
      <c r="T204" s="5">
        <v>33.9</v>
      </c>
      <c r="U204" s="24"/>
      <c r="V204" s="1">
        <v>66.599999999999994</v>
      </c>
      <c r="W204" s="1">
        <v>0.69</v>
      </c>
      <c r="X204" s="1">
        <v>0.42</v>
      </c>
      <c r="Y204" s="1">
        <v>7.8</v>
      </c>
      <c r="Z204" s="1">
        <v>0.3</v>
      </c>
      <c r="AA204" s="6">
        <v>0.17</v>
      </c>
    </row>
    <row r="205" spans="1:27">
      <c r="A205" s="3"/>
      <c r="D205" s="15">
        <v>1800</v>
      </c>
      <c r="E205" s="1">
        <f>D205*$I$2</f>
        <v>816.46559999999999</v>
      </c>
      <c r="F205" s="25">
        <v>3</v>
      </c>
      <c r="G205" s="25">
        <f t="shared" si="9"/>
        <v>1.360776</v>
      </c>
      <c r="H205" s="32">
        <v>23.61</v>
      </c>
      <c r="I205" s="25">
        <v>13.8</v>
      </c>
      <c r="J205" s="25">
        <v>6.5</v>
      </c>
      <c r="K205" s="25">
        <v>2.7</v>
      </c>
      <c r="L205" s="25">
        <v>0.10199999999999999</v>
      </c>
      <c r="M205" s="33">
        <v>6.0999999999999999E-2</v>
      </c>
      <c r="N205" s="24">
        <f t="shared" si="11"/>
        <v>10.70930712</v>
      </c>
      <c r="O205" s="40"/>
      <c r="P205" s="24">
        <f t="shared" si="12"/>
        <v>2.9483480000000002</v>
      </c>
      <c r="Q205" s="24">
        <f t="shared" si="12"/>
        <v>1.2246984000000001</v>
      </c>
      <c r="R205" s="24">
        <f t="shared" si="12"/>
        <v>4.6266383999999994E-2</v>
      </c>
      <c r="S205" s="24">
        <f t="shared" si="10"/>
        <v>2.7669111999999999E-2</v>
      </c>
      <c r="T205" s="5">
        <v>35.4</v>
      </c>
      <c r="U205" s="24"/>
      <c r="V205" s="1">
        <v>66.7</v>
      </c>
      <c r="W205" s="1">
        <v>0.69</v>
      </c>
      <c r="X205" s="1">
        <v>0.42</v>
      </c>
      <c r="Y205" s="1">
        <v>7.6</v>
      </c>
      <c r="Z205" s="1">
        <v>0.28999999999999998</v>
      </c>
      <c r="AA205" s="6">
        <v>0.17</v>
      </c>
    </row>
    <row r="206" spans="1:27">
      <c r="A206" s="3"/>
      <c r="D206" s="1">
        <v>900</v>
      </c>
      <c r="E206" s="1">
        <f>D206*$I$2</f>
        <v>408.2328</v>
      </c>
      <c r="F206" s="25">
        <v>3.5</v>
      </c>
      <c r="G206" s="25">
        <f t="shared" si="9"/>
        <v>1.587572</v>
      </c>
      <c r="H206" s="32">
        <v>14.64</v>
      </c>
      <c r="I206" s="25">
        <v>8.1999999999999993</v>
      </c>
      <c r="J206" s="25">
        <v>4.5999999999999996</v>
      </c>
      <c r="K206" s="25">
        <v>2.57</v>
      </c>
      <c r="L206" s="25">
        <v>0.112</v>
      </c>
      <c r="M206" s="33">
        <v>5.5E-2</v>
      </c>
      <c r="N206" s="24">
        <f t="shared" si="11"/>
        <v>6.6405868799999999</v>
      </c>
      <c r="O206" s="40"/>
      <c r="P206" s="24">
        <f t="shared" si="12"/>
        <v>2.0865231999999998</v>
      </c>
      <c r="Q206" s="24">
        <f t="shared" si="12"/>
        <v>1.1657314399999998</v>
      </c>
      <c r="R206" s="24">
        <f t="shared" si="12"/>
        <v>5.0802304E-2</v>
      </c>
      <c r="S206" s="24">
        <f t="shared" si="10"/>
        <v>2.4947560000000001E-2</v>
      </c>
      <c r="T206" s="5">
        <v>20.8</v>
      </c>
      <c r="U206" s="24"/>
      <c r="V206" s="1">
        <v>70.400000000000006</v>
      </c>
      <c r="W206" s="1">
        <v>0.75</v>
      </c>
      <c r="X206" s="1">
        <v>0.47</v>
      </c>
      <c r="Y206" s="1">
        <v>12.3</v>
      </c>
      <c r="Z206" s="1">
        <v>0.54</v>
      </c>
      <c r="AA206" s="6">
        <v>0.26</v>
      </c>
    </row>
    <row r="207" spans="1:27">
      <c r="A207" s="3"/>
      <c r="D207" s="15">
        <v>1000</v>
      </c>
      <c r="E207" s="1">
        <f>D207*$I$2</f>
        <v>453.59199999999998</v>
      </c>
      <c r="F207" s="25">
        <v>3.5</v>
      </c>
      <c r="G207" s="25">
        <f t="shared" si="9"/>
        <v>1.587572</v>
      </c>
      <c r="H207" s="32">
        <v>15.85</v>
      </c>
      <c r="I207" s="25">
        <v>8.9</v>
      </c>
      <c r="J207" s="25">
        <v>5</v>
      </c>
      <c r="K207" s="25">
        <v>2.6</v>
      </c>
      <c r="L207" s="25">
        <v>0.111</v>
      </c>
      <c r="M207" s="33">
        <v>5.6000000000000001E-2</v>
      </c>
      <c r="N207" s="24">
        <f t="shared" si="11"/>
        <v>7.1894331999999999</v>
      </c>
      <c r="O207" s="40"/>
      <c r="P207" s="24">
        <f t="shared" si="12"/>
        <v>2.26796</v>
      </c>
      <c r="Q207" s="24">
        <f t="shared" si="12"/>
        <v>1.1793392</v>
      </c>
      <c r="R207" s="24">
        <f t="shared" si="12"/>
        <v>5.0348711999999997E-2</v>
      </c>
      <c r="S207" s="24">
        <f t="shared" si="10"/>
        <v>2.5401152E-2</v>
      </c>
      <c r="T207" s="5">
        <v>22.5</v>
      </c>
      <c r="U207" s="24"/>
      <c r="V207" s="1">
        <v>70.400000000000006</v>
      </c>
      <c r="W207" s="1">
        <v>0.75</v>
      </c>
      <c r="X207" s="1">
        <v>0.47</v>
      </c>
      <c r="Y207" s="1">
        <v>11.5</v>
      </c>
      <c r="Z207" s="1">
        <v>0.49</v>
      </c>
      <c r="AA207" s="6">
        <v>0.25</v>
      </c>
    </row>
    <row r="208" spans="1:27">
      <c r="A208" s="3"/>
      <c r="D208" s="15">
        <v>1100</v>
      </c>
      <c r="E208" s="1">
        <f>D208*$I$2</f>
        <v>498.95119999999997</v>
      </c>
      <c r="F208" s="25">
        <v>3.5</v>
      </c>
      <c r="G208" s="25">
        <f t="shared" si="9"/>
        <v>1.587572</v>
      </c>
      <c r="H208" s="32">
        <v>17</v>
      </c>
      <c r="I208" s="25">
        <v>9.5</v>
      </c>
      <c r="J208" s="25">
        <v>5.4</v>
      </c>
      <c r="K208" s="25">
        <v>2.63</v>
      </c>
      <c r="L208" s="25">
        <v>0.111</v>
      </c>
      <c r="M208" s="33">
        <v>5.7000000000000002E-2</v>
      </c>
      <c r="N208" s="24">
        <f t="shared" si="11"/>
        <v>7.7110640000000004</v>
      </c>
      <c r="O208" s="40"/>
      <c r="P208" s="24">
        <f t="shared" si="12"/>
        <v>2.4493968000000002</v>
      </c>
      <c r="Q208" s="24">
        <f t="shared" si="12"/>
        <v>1.19294696</v>
      </c>
      <c r="R208" s="24">
        <f t="shared" si="12"/>
        <v>5.0348711999999997E-2</v>
      </c>
      <c r="S208" s="24">
        <f t="shared" si="10"/>
        <v>2.5854743999999999E-2</v>
      </c>
      <c r="T208" s="5">
        <v>24.2</v>
      </c>
      <c r="U208" s="24"/>
      <c r="V208" s="1">
        <v>70.3</v>
      </c>
      <c r="W208" s="1">
        <v>0.75</v>
      </c>
      <c r="X208" s="1">
        <v>0.47</v>
      </c>
      <c r="Y208" s="1">
        <v>10.9</v>
      </c>
      <c r="Z208" s="1">
        <v>0.46</v>
      </c>
      <c r="AA208" s="6">
        <v>0.23</v>
      </c>
    </row>
    <row r="209" spans="1:27">
      <c r="A209" s="3"/>
      <c r="D209" s="15">
        <v>1200</v>
      </c>
      <c r="E209" s="1">
        <f>D209*$I$2</f>
        <v>544.31039999999996</v>
      </c>
      <c r="F209" s="25">
        <v>3.5</v>
      </c>
      <c r="G209" s="25">
        <f t="shared" si="9"/>
        <v>1.587572</v>
      </c>
      <c r="H209" s="32">
        <v>18.18</v>
      </c>
      <c r="I209" s="25">
        <v>10.199999999999999</v>
      </c>
      <c r="J209" s="25">
        <v>5.7</v>
      </c>
      <c r="K209" s="25">
        <v>2.66</v>
      </c>
      <c r="L209" s="25">
        <v>0.111</v>
      </c>
      <c r="M209" s="33">
        <v>5.7000000000000002E-2</v>
      </c>
      <c r="N209" s="24">
        <f t="shared" si="11"/>
        <v>8.2463025600000002</v>
      </c>
      <c r="O209" s="40"/>
      <c r="P209" s="24">
        <f t="shared" si="12"/>
        <v>2.5854743999999998</v>
      </c>
      <c r="Q209" s="24">
        <f t="shared" si="12"/>
        <v>1.20655472</v>
      </c>
      <c r="R209" s="24">
        <f t="shared" si="12"/>
        <v>5.0348711999999997E-2</v>
      </c>
      <c r="S209" s="24">
        <f t="shared" si="10"/>
        <v>2.5854743999999999E-2</v>
      </c>
      <c r="T209" s="5">
        <v>25.8</v>
      </c>
      <c r="U209" s="24"/>
      <c r="V209" s="1">
        <v>70.400000000000006</v>
      </c>
      <c r="W209" s="1">
        <v>0.75</v>
      </c>
      <c r="X209" s="1">
        <v>0.47</v>
      </c>
      <c r="Y209" s="1">
        <v>10.3</v>
      </c>
      <c r="Z209" s="1">
        <v>0.43</v>
      </c>
      <c r="AA209" s="6">
        <v>0.22</v>
      </c>
    </row>
    <row r="210" spans="1:27">
      <c r="A210" s="3"/>
      <c r="D210" s="15">
        <v>1300</v>
      </c>
      <c r="E210" s="1">
        <f>D210*$I$2</f>
        <v>589.66959999999995</v>
      </c>
      <c r="F210" s="25">
        <v>3.5</v>
      </c>
      <c r="G210" s="25">
        <f t="shared" si="9"/>
        <v>1.587572</v>
      </c>
      <c r="H210" s="32">
        <v>19.28</v>
      </c>
      <c r="I210" s="25">
        <v>10.8</v>
      </c>
      <c r="J210" s="25">
        <v>6.1</v>
      </c>
      <c r="K210" s="25">
        <v>2.69</v>
      </c>
      <c r="L210" s="25">
        <v>0.11</v>
      </c>
      <c r="M210" s="33">
        <v>5.8000000000000003E-2</v>
      </c>
      <c r="N210" s="24">
        <f t="shared" si="11"/>
        <v>8.7452537600000007</v>
      </c>
      <c r="O210" s="40"/>
      <c r="P210" s="24">
        <f t="shared" si="12"/>
        <v>2.7669112</v>
      </c>
      <c r="Q210" s="24">
        <f t="shared" si="12"/>
        <v>1.2201624799999999</v>
      </c>
      <c r="R210" s="24">
        <f t="shared" si="12"/>
        <v>4.9895120000000001E-2</v>
      </c>
      <c r="S210" s="24">
        <f t="shared" si="10"/>
        <v>2.6308336000000002E-2</v>
      </c>
      <c r="T210" s="5">
        <v>27.4</v>
      </c>
      <c r="U210" s="24"/>
      <c r="V210" s="1">
        <v>70.3</v>
      </c>
      <c r="W210" s="1">
        <v>0.75</v>
      </c>
      <c r="X210" s="1">
        <v>0.47</v>
      </c>
      <c r="Y210" s="1">
        <v>9.8000000000000007</v>
      </c>
      <c r="Z210" s="1">
        <v>0.4</v>
      </c>
      <c r="AA210" s="6">
        <v>0.21</v>
      </c>
    </row>
    <row r="211" spans="1:27">
      <c r="A211" s="3"/>
      <c r="D211" s="15">
        <v>1400</v>
      </c>
      <c r="E211" s="1">
        <f>D211*$I$2</f>
        <v>635.02880000000005</v>
      </c>
      <c r="F211" s="25">
        <v>3.5</v>
      </c>
      <c r="G211" s="25">
        <f t="shared" si="9"/>
        <v>1.587572</v>
      </c>
      <c r="H211" s="32">
        <v>20.37</v>
      </c>
      <c r="I211" s="25">
        <v>11.4</v>
      </c>
      <c r="J211" s="25">
        <v>6.5</v>
      </c>
      <c r="K211" s="25">
        <v>2.71</v>
      </c>
      <c r="L211" s="25">
        <v>0.11</v>
      </c>
      <c r="M211" s="33">
        <v>5.8999999999999997E-2</v>
      </c>
      <c r="N211" s="24">
        <f t="shared" si="11"/>
        <v>9.2396690400000008</v>
      </c>
      <c r="O211" s="40"/>
      <c r="P211" s="24">
        <f t="shared" si="12"/>
        <v>2.9483480000000002</v>
      </c>
      <c r="Q211" s="24">
        <f t="shared" si="12"/>
        <v>1.22923432</v>
      </c>
      <c r="R211" s="24">
        <f t="shared" si="12"/>
        <v>4.9895120000000001E-2</v>
      </c>
      <c r="S211" s="24">
        <f t="shared" si="10"/>
        <v>2.6761927999999997E-2</v>
      </c>
      <c r="T211" s="5">
        <v>29</v>
      </c>
      <c r="U211" s="24"/>
      <c r="V211" s="1">
        <v>70.3</v>
      </c>
      <c r="W211" s="1">
        <v>0.75</v>
      </c>
      <c r="X211" s="1">
        <v>0.47</v>
      </c>
      <c r="Y211" s="1">
        <v>9.4</v>
      </c>
      <c r="Z211" s="1">
        <v>0.38</v>
      </c>
      <c r="AA211" s="6">
        <v>0.2</v>
      </c>
    </row>
    <row r="212" spans="1:27">
      <c r="A212" s="3"/>
      <c r="D212" s="15">
        <v>1500</v>
      </c>
      <c r="E212" s="1">
        <f>D212*$I$2</f>
        <v>680.38800000000003</v>
      </c>
      <c r="F212" s="25">
        <v>3.5</v>
      </c>
      <c r="G212" s="25">
        <f t="shared" si="9"/>
        <v>1.587572</v>
      </c>
      <c r="H212" s="32">
        <v>21.45</v>
      </c>
      <c r="I212" s="25">
        <v>12</v>
      </c>
      <c r="J212" s="25">
        <v>6.8</v>
      </c>
      <c r="K212" s="25">
        <v>2.74</v>
      </c>
      <c r="L212" s="25">
        <v>0.11</v>
      </c>
      <c r="M212" s="33">
        <v>0.06</v>
      </c>
      <c r="N212" s="24">
        <f t="shared" si="11"/>
        <v>9.7295483999999988</v>
      </c>
      <c r="O212" s="40"/>
      <c r="P212" s="24">
        <f t="shared" si="12"/>
        <v>3.0844255999999999</v>
      </c>
      <c r="Q212" s="24">
        <f t="shared" si="12"/>
        <v>1.2428420800000002</v>
      </c>
      <c r="R212" s="24">
        <f t="shared" si="12"/>
        <v>4.9895120000000001E-2</v>
      </c>
      <c r="S212" s="24">
        <f t="shared" si="10"/>
        <v>2.721552E-2</v>
      </c>
      <c r="T212" s="5">
        <v>30.5</v>
      </c>
      <c r="U212" s="24"/>
      <c r="V212" s="1">
        <v>70.3</v>
      </c>
      <c r="W212" s="1">
        <v>0.75</v>
      </c>
      <c r="X212" s="1">
        <v>0.47</v>
      </c>
      <c r="Y212" s="1">
        <v>9</v>
      </c>
      <c r="Z212" s="1">
        <v>0.36</v>
      </c>
      <c r="AA212" s="6">
        <v>0.2</v>
      </c>
    </row>
    <row r="213" spans="1:27">
      <c r="A213" s="3"/>
      <c r="D213" s="15">
        <v>1600</v>
      </c>
      <c r="E213" s="1">
        <f>D213*$I$2</f>
        <v>725.74720000000002</v>
      </c>
      <c r="F213" s="25">
        <v>3.5</v>
      </c>
      <c r="G213" s="25">
        <f t="shared" si="9"/>
        <v>1.587572</v>
      </c>
      <c r="H213" s="32">
        <v>22.52</v>
      </c>
      <c r="I213" s="25">
        <v>12.6</v>
      </c>
      <c r="J213" s="25">
        <v>7.1</v>
      </c>
      <c r="K213" s="25">
        <v>2.77</v>
      </c>
      <c r="L213" s="25">
        <v>0.11</v>
      </c>
      <c r="M213" s="33">
        <v>6.0999999999999999E-2</v>
      </c>
      <c r="N213" s="24">
        <f t="shared" si="11"/>
        <v>10.21489184</v>
      </c>
      <c r="O213" s="40"/>
      <c r="P213" s="24">
        <f t="shared" si="12"/>
        <v>3.2205032</v>
      </c>
      <c r="Q213" s="24">
        <f t="shared" si="12"/>
        <v>1.2564498399999999</v>
      </c>
      <c r="R213" s="24">
        <f t="shared" si="12"/>
        <v>4.9895120000000001E-2</v>
      </c>
      <c r="S213" s="24">
        <f t="shared" si="10"/>
        <v>2.7669111999999999E-2</v>
      </c>
      <c r="T213" s="5">
        <v>32</v>
      </c>
      <c r="U213" s="24"/>
      <c r="V213" s="1">
        <v>70.3</v>
      </c>
      <c r="W213" s="1">
        <v>0.75</v>
      </c>
      <c r="X213" s="1">
        <v>0.47</v>
      </c>
      <c r="Y213" s="1">
        <v>8.6</v>
      </c>
      <c r="Z213" s="1">
        <v>0.34</v>
      </c>
      <c r="AA213" s="6">
        <v>0.19</v>
      </c>
    </row>
    <row r="214" spans="1:27">
      <c r="A214" s="3"/>
      <c r="D214" s="15">
        <v>1700</v>
      </c>
      <c r="E214" s="1">
        <f>D214*$I$2</f>
        <v>771.10640000000001</v>
      </c>
      <c r="F214" s="25">
        <v>3.5</v>
      </c>
      <c r="G214" s="25">
        <f t="shared" si="9"/>
        <v>1.587572</v>
      </c>
      <c r="H214" s="32">
        <v>23.57</v>
      </c>
      <c r="I214" s="25">
        <v>13.2</v>
      </c>
      <c r="J214" s="25">
        <v>7.5</v>
      </c>
      <c r="K214" s="25">
        <v>2.79</v>
      </c>
      <c r="L214" s="25">
        <v>0.11</v>
      </c>
      <c r="M214" s="33">
        <v>6.2E-2</v>
      </c>
      <c r="N214" s="24">
        <f t="shared" si="11"/>
        <v>10.69116344</v>
      </c>
      <c r="O214" s="40"/>
      <c r="P214" s="24">
        <f t="shared" si="12"/>
        <v>3.4019399999999997</v>
      </c>
      <c r="Q214" s="24">
        <f t="shared" si="12"/>
        <v>1.26552168</v>
      </c>
      <c r="R214" s="24">
        <f t="shared" si="12"/>
        <v>4.9895120000000001E-2</v>
      </c>
      <c r="S214" s="24">
        <f t="shared" si="10"/>
        <v>2.8122703999999998E-2</v>
      </c>
      <c r="T214" s="5">
        <v>33.5</v>
      </c>
      <c r="U214" s="24"/>
      <c r="V214" s="1">
        <v>70.3</v>
      </c>
      <c r="W214" s="1">
        <v>0.75</v>
      </c>
      <c r="X214" s="1">
        <v>0.47</v>
      </c>
      <c r="Y214" s="1">
        <v>8.3000000000000007</v>
      </c>
      <c r="Z214" s="1">
        <v>0.33</v>
      </c>
      <c r="AA214" s="6">
        <v>0.19</v>
      </c>
    </row>
    <row r="215" spans="1:27">
      <c r="A215" s="13"/>
      <c r="B215" s="8"/>
      <c r="C215" s="8"/>
      <c r="D215" s="16">
        <v>1800</v>
      </c>
      <c r="E215" s="1">
        <f>D215*$I$2</f>
        <v>816.46559999999999</v>
      </c>
      <c r="F215" s="25">
        <v>3.5</v>
      </c>
      <c r="G215" s="25">
        <f t="shared" si="9"/>
        <v>1.587572</v>
      </c>
      <c r="H215" s="34">
        <v>24.62</v>
      </c>
      <c r="I215" s="35">
        <v>13.8</v>
      </c>
      <c r="J215" s="35">
        <v>7.8</v>
      </c>
      <c r="K215" s="35">
        <v>2.82</v>
      </c>
      <c r="L215" s="35">
        <v>0.11</v>
      </c>
      <c r="M215" s="36">
        <v>6.3E-2</v>
      </c>
      <c r="N215" s="24">
        <f t="shared" si="11"/>
        <v>11.167435040000001</v>
      </c>
      <c r="O215" s="40"/>
      <c r="P215" s="24">
        <f t="shared" si="12"/>
        <v>3.5380175999999999</v>
      </c>
      <c r="Q215" s="24">
        <f t="shared" si="12"/>
        <v>1.27912944</v>
      </c>
      <c r="R215" s="24">
        <f t="shared" si="12"/>
        <v>4.9895120000000001E-2</v>
      </c>
      <c r="S215" s="24">
        <f t="shared" si="10"/>
        <v>2.8576296000000001E-2</v>
      </c>
      <c r="T215" s="7">
        <v>35</v>
      </c>
      <c r="U215" s="8"/>
      <c r="V215" s="8">
        <v>70.400000000000006</v>
      </c>
      <c r="W215" s="8">
        <v>0.75</v>
      </c>
      <c r="X215" s="8">
        <v>0.47</v>
      </c>
      <c r="Y215" s="8">
        <v>8.1</v>
      </c>
      <c r="Z215" s="8">
        <v>0.31</v>
      </c>
      <c r="AA215" s="9">
        <v>0.18</v>
      </c>
    </row>
    <row r="216" spans="1:27">
      <c r="N216" s="24">
        <f t="shared" si="11"/>
        <v>0</v>
      </c>
      <c r="O216" s="40"/>
      <c r="P216" s="24">
        <f t="shared" si="12"/>
        <v>0</v>
      </c>
      <c r="Q216" s="24">
        <f t="shared" si="12"/>
        <v>0</v>
      </c>
      <c r="R216" s="24">
        <f t="shared" si="12"/>
        <v>0</v>
      </c>
      <c r="S216" s="24">
        <f t="shared" si="10"/>
        <v>0</v>
      </c>
    </row>
    <row r="217" spans="1:27">
      <c r="A217" s="11"/>
      <c r="B217" s="10"/>
      <c r="C217" s="10"/>
      <c r="D217" s="10"/>
      <c r="E217" s="10"/>
      <c r="F217" s="37"/>
      <c r="G217" s="37"/>
      <c r="H217" s="26" t="s">
        <v>10</v>
      </c>
      <c r="I217" s="27"/>
      <c r="J217" s="27"/>
      <c r="K217" s="27"/>
      <c r="L217" s="27"/>
      <c r="M217" s="28"/>
      <c r="N217" s="24" t="e">
        <f t="shared" si="11"/>
        <v>#VALUE!</v>
      </c>
      <c r="O217" s="40"/>
      <c r="P217" s="24">
        <f t="shared" si="12"/>
        <v>0</v>
      </c>
      <c r="Q217" s="24">
        <f t="shared" si="12"/>
        <v>0</v>
      </c>
      <c r="R217" s="24">
        <f t="shared" si="12"/>
        <v>0</v>
      </c>
      <c r="S217" s="24">
        <f t="shared" si="10"/>
        <v>0</v>
      </c>
      <c r="T217" s="21" t="s">
        <v>21</v>
      </c>
      <c r="U217" s="21"/>
      <c r="V217" s="21"/>
      <c r="W217" s="21"/>
      <c r="X217" s="21"/>
      <c r="Y217" s="21"/>
      <c r="Z217" s="21"/>
      <c r="AA217" s="22"/>
    </row>
    <row r="218" spans="1:27" ht="26">
      <c r="A218" s="12" t="s">
        <v>72</v>
      </c>
      <c r="B218" s="2" t="s">
        <v>27</v>
      </c>
      <c r="C218" s="2"/>
      <c r="D218" s="2"/>
      <c r="E218" s="2"/>
      <c r="F218" s="30"/>
      <c r="G218" s="30"/>
      <c r="H218" s="29" t="s">
        <v>11</v>
      </c>
      <c r="I218" s="30" t="s">
        <v>23</v>
      </c>
      <c r="J218" s="30" t="s">
        <v>24</v>
      </c>
      <c r="K218" s="30" t="s">
        <v>12</v>
      </c>
      <c r="L218" s="30" t="s">
        <v>13</v>
      </c>
      <c r="M218" s="31" t="s">
        <v>14</v>
      </c>
      <c r="N218" s="24" t="e">
        <f t="shared" si="11"/>
        <v>#VALUE!</v>
      </c>
      <c r="O218" s="40"/>
      <c r="P218" s="24" t="e">
        <f t="shared" si="12"/>
        <v>#VALUE!</v>
      </c>
      <c r="Q218" s="24" t="e">
        <f t="shared" si="12"/>
        <v>#VALUE!</v>
      </c>
      <c r="R218" s="24" t="e">
        <f t="shared" si="12"/>
        <v>#VALUE!</v>
      </c>
      <c r="S218" s="24" t="e">
        <f t="shared" si="10"/>
        <v>#VALUE!</v>
      </c>
      <c r="T218" s="3" t="s">
        <v>15</v>
      </c>
      <c r="U218" s="23"/>
      <c r="V218" s="2" t="s">
        <v>16</v>
      </c>
      <c r="W218" s="2" t="s">
        <v>17</v>
      </c>
      <c r="X218" s="2" t="s">
        <v>24</v>
      </c>
      <c r="Y218" s="2" t="s">
        <v>18</v>
      </c>
      <c r="Z218" s="2" t="s">
        <v>19</v>
      </c>
      <c r="AA218" s="4" t="s">
        <v>20</v>
      </c>
    </row>
    <row r="219" spans="1:27">
      <c r="A219" s="3"/>
      <c r="B219" s="1">
        <v>1800</v>
      </c>
      <c r="C219" s="1">
        <f>B219*$I$2</f>
        <v>816.46559999999999</v>
      </c>
      <c r="H219" s="32">
        <v>16</v>
      </c>
      <c r="I219" s="25">
        <v>13.8</v>
      </c>
      <c r="K219" s="25">
        <v>1.86</v>
      </c>
      <c r="L219" s="25">
        <v>5.2999999999999999E-2</v>
      </c>
      <c r="M219" s="33">
        <v>4.1000000000000002E-2</v>
      </c>
      <c r="N219" s="24">
        <f t="shared" si="11"/>
        <v>7.2574719999999999</v>
      </c>
      <c r="O219" s="40"/>
      <c r="P219" s="24">
        <f t="shared" si="12"/>
        <v>0</v>
      </c>
      <c r="Q219" s="24">
        <f t="shared" si="12"/>
        <v>0.84368112000000006</v>
      </c>
      <c r="R219" s="24">
        <f t="shared" si="12"/>
        <v>2.4040375999999999E-2</v>
      </c>
      <c r="S219" s="24">
        <f t="shared" si="10"/>
        <v>1.8597272000000001E-2</v>
      </c>
      <c r="T219" s="1">
        <v>32.700000000000003</v>
      </c>
      <c r="V219" s="1">
        <v>48.9</v>
      </c>
      <c r="W219" s="1">
        <v>0.42</v>
      </c>
      <c r="X219" s="1">
        <v>0.18</v>
      </c>
      <c r="Y219" s="1">
        <v>5.7</v>
      </c>
      <c r="Z219" s="1">
        <v>0.16</v>
      </c>
      <c r="AA219" s="6">
        <v>0.12</v>
      </c>
    </row>
    <row r="220" spans="1:27">
      <c r="A220" s="13"/>
      <c r="B220" s="8">
        <v>2200</v>
      </c>
      <c r="C220" s="1">
        <f>B220*$I$2</f>
        <v>997.90239999999994</v>
      </c>
      <c r="D220" s="8"/>
      <c r="E220" s="8"/>
      <c r="F220" s="35"/>
      <c r="G220" s="35"/>
      <c r="H220" s="34">
        <v>18.600000000000001</v>
      </c>
      <c r="I220" s="35">
        <v>16</v>
      </c>
      <c r="J220" s="35"/>
      <c r="K220" s="35">
        <v>2.16</v>
      </c>
      <c r="L220" s="35">
        <v>6.5000000000000002E-2</v>
      </c>
      <c r="M220" s="36">
        <v>0.05</v>
      </c>
      <c r="N220" s="24">
        <f t="shared" si="11"/>
        <v>8.4368112000000011</v>
      </c>
      <c r="O220" s="40"/>
      <c r="P220" s="24">
        <f t="shared" si="12"/>
        <v>0</v>
      </c>
      <c r="Q220" s="24">
        <f t="shared" si="12"/>
        <v>0.97975872000000008</v>
      </c>
      <c r="R220" s="24">
        <f t="shared" si="12"/>
        <v>2.9483479999999999E-2</v>
      </c>
      <c r="S220" s="24">
        <f t="shared" si="10"/>
        <v>2.2679600000000001E-2</v>
      </c>
      <c r="T220" s="8">
        <v>38</v>
      </c>
      <c r="U220" s="8"/>
      <c r="V220" s="8">
        <v>48.9</v>
      </c>
      <c r="W220" s="8">
        <v>0.42</v>
      </c>
      <c r="X220" s="8">
        <v>0.18</v>
      </c>
      <c r="Y220" s="8">
        <v>5.7</v>
      </c>
      <c r="Z220" s="8">
        <v>0.17</v>
      </c>
      <c r="AA220" s="9">
        <v>0.13</v>
      </c>
    </row>
    <row r="279" spans="8:22">
      <c r="H279" s="25" t="s">
        <v>44</v>
      </c>
      <c r="I279" s="25" t="s">
        <v>45</v>
      </c>
      <c r="J279" s="25" t="s">
        <v>46</v>
      </c>
      <c r="K279" s="25" t="s">
        <v>47</v>
      </c>
      <c r="L279" s="25" t="s">
        <v>48</v>
      </c>
    </row>
    <row r="280" spans="8:22">
      <c r="H280" s="25" t="s">
        <v>49</v>
      </c>
      <c r="I280" s="25" t="s">
        <v>50</v>
      </c>
      <c r="J280" s="25" t="s">
        <v>51</v>
      </c>
      <c r="K280" s="25" t="s">
        <v>52</v>
      </c>
      <c r="L280" s="25" t="s">
        <v>53</v>
      </c>
      <c r="M280" s="25" t="s">
        <v>54</v>
      </c>
      <c r="T280" s="1" t="s">
        <v>55</v>
      </c>
      <c r="V280" s="1" t="s">
        <v>56</v>
      </c>
    </row>
    <row r="281" spans="8:22">
      <c r="H281" s="25" t="s">
        <v>57</v>
      </c>
      <c r="I281" s="25">
        <v>1</v>
      </c>
      <c r="J281" s="25" t="s">
        <v>58</v>
      </c>
      <c r="K281" s="25" t="s">
        <v>59</v>
      </c>
      <c r="L281" s="25" t="s">
        <v>60</v>
      </c>
    </row>
    <row r="282" spans="8:22">
      <c r="H282" s="25" t="s">
        <v>57</v>
      </c>
      <c r="I282" s="25">
        <v>2</v>
      </c>
      <c r="J282" s="25" t="s">
        <v>61</v>
      </c>
      <c r="K282" s="25" t="s">
        <v>62</v>
      </c>
      <c r="L282" s="25" t="s">
        <v>63</v>
      </c>
      <c r="M282" s="25" t="s">
        <v>64</v>
      </c>
    </row>
    <row r="283" spans="8:22">
      <c r="H283" s="25" t="s">
        <v>57</v>
      </c>
      <c r="I283" s="25">
        <v>3</v>
      </c>
      <c r="J283" s="25" t="s">
        <v>58</v>
      </c>
      <c r="K283" s="25" t="s">
        <v>65</v>
      </c>
      <c r="L283" s="25" t="s">
        <v>66</v>
      </c>
      <c r="M283" s="25" t="s">
        <v>67</v>
      </c>
    </row>
    <row r="284" spans="8:22">
      <c r="H284" s="25" t="s">
        <v>57</v>
      </c>
      <c r="I284" s="25">
        <v>4</v>
      </c>
      <c r="J284" s="25" t="s">
        <v>68</v>
      </c>
      <c r="K284" s="25" t="s">
        <v>69</v>
      </c>
      <c r="L284" s="25" t="s">
        <v>70</v>
      </c>
    </row>
    <row r="285" spans="8:22">
      <c r="H285" s="25" t="s">
        <v>71</v>
      </c>
      <c r="I285" s="25" t="s">
        <v>54</v>
      </c>
    </row>
  </sheetData>
  <mergeCells count="18">
    <mergeCell ref="H126:M126"/>
    <mergeCell ref="T126:AA126"/>
    <mergeCell ref="H154:M154"/>
    <mergeCell ref="T154:AA154"/>
    <mergeCell ref="H217:M217"/>
    <mergeCell ref="T217:AA217"/>
    <mergeCell ref="H46:M46"/>
    <mergeCell ref="T46:AA46"/>
    <mergeCell ref="H64:M64"/>
    <mergeCell ref="T64:AA64"/>
    <mergeCell ref="H87:M87"/>
    <mergeCell ref="T87:AA87"/>
    <mergeCell ref="H4:L4"/>
    <mergeCell ref="M4:Y4"/>
    <mergeCell ref="H19:M19"/>
    <mergeCell ref="T19:AA19"/>
    <mergeCell ref="H34:M34"/>
    <mergeCell ref="T34:AA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CC324-7757-7940-952C-6B8C59064505}">
  <dimension ref="A1:R285"/>
  <sheetViews>
    <sheetView topLeftCell="A24" workbookViewId="0">
      <selection activeCell="J24" sqref="J24"/>
    </sheetView>
  </sheetViews>
  <sheetFormatPr baseColWidth="10" defaultRowHeight="13"/>
  <cols>
    <col min="2" max="2" width="14.83203125" customWidth="1"/>
    <col min="3" max="3" width="14.1640625" customWidth="1"/>
    <col min="4" max="4" width="17.1640625" customWidth="1"/>
    <col min="7" max="7" width="11.1640625" bestFit="1" customWidth="1"/>
    <col min="9" max="9" width="12.1640625" bestFit="1" customWidth="1"/>
    <col min="10" max="10" width="15" customWidth="1"/>
  </cols>
  <sheetData>
    <row r="1" spans="1:18">
      <c r="A1" t="s">
        <v>1</v>
      </c>
    </row>
    <row r="2" spans="1:18">
      <c r="E2">
        <v>0.453592</v>
      </c>
    </row>
    <row r="3" spans="1:18">
      <c r="A3" t="s">
        <v>0</v>
      </c>
    </row>
    <row r="5" spans="1:18">
      <c r="A5" t="s">
        <v>2</v>
      </c>
      <c r="B5" t="s">
        <v>123</v>
      </c>
      <c r="C5" t="s">
        <v>4</v>
      </c>
      <c r="D5" t="s">
        <v>5</v>
      </c>
      <c r="E5" t="s">
        <v>23</v>
      </c>
      <c r="F5" t="s">
        <v>116</v>
      </c>
      <c r="G5" t="s">
        <v>117</v>
      </c>
      <c r="H5" t="s">
        <v>118</v>
      </c>
      <c r="I5" t="s">
        <v>119</v>
      </c>
      <c r="J5" t="s">
        <v>120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</row>
    <row r="6" spans="1:18">
      <c r="B6">
        <v>589.66959999999995</v>
      </c>
      <c r="C6">
        <v>1</v>
      </c>
      <c r="D6" t="s">
        <v>6</v>
      </c>
      <c r="E6">
        <v>15.6</v>
      </c>
      <c r="F6">
        <v>7.20304096</v>
      </c>
      <c r="G6">
        <v>1.2473779999999999</v>
      </c>
      <c r="H6">
        <v>3.4019399999999998E-2</v>
      </c>
      <c r="I6">
        <v>2.2679600000000001E-2</v>
      </c>
      <c r="J6">
        <v>12.246983999999999</v>
      </c>
      <c r="K6">
        <v>58.9</v>
      </c>
      <c r="L6">
        <v>0.57999999999999996</v>
      </c>
      <c r="M6">
        <v>10.199999999999999</v>
      </c>
      <c r="N6">
        <v>0.28000000000000003</v>
      </c>
      <c r="O6">
        <v>0.19</v>
      </c>
      <c r="R6" t="s">
        <v>32</v>
      </c>
    </row>
    <row r="7" spans="1:18">
      <c r="C7">
        <v>2</v>
      </c>
      <c r="D7" t="s">
        <v>6</v>
      </c>
      <c r="E7">
        <v>16.600000000000001</v>
      </c>
      <c r="F7">
        <v>7.5840582399999992</v>
      </c>
      <c r="G7">
        <v>1.36984784</v>
      </c>
      <c r="H7">
        <v>3.7648135999999999E-2</v>
      </c>
      <c r="I7">
        <v>2.4947560000000001E-2</v>
      </c>
      <c r="J7">
        <v>12.6098576</v>
      </c>
      <c r="K7">
        <v>60.1</v>
      </c>
      <c r="L7">
        <v>0.6</v>
      </c>
      <c r="M7">
        <v>10.9</v>
      </c>
      <c r="N7">
        <v>0.3</v>
      </c>
      <c r="O7">
        <v>0.2</v>
      </c>
      <c r="R7" t="s">
        <v>33</v>
      </c>
    </row>
    <row r="8" spans="1:18">
      <c r="C8">
        <v>3</v>
      </c>
      <c r="D8" t="s">
        <v>6</v>
      </c>
      <c r="E8">
        <v>16.100000000000001</v>
      </c>
      <c r="F8">
        <v>7.3935496000000001</v>
      </c>
      <c r="G8">
        <v>1.3063449599999999</v>
      </c>
      <c r="H8">
        <v>3.5833768000000002E-2</v>
      </c>
      <c r="I8">
        <v>2.3586784E-2</v>
      </c>
      <c r="J8">
        <v>12.4284208</v>
      </c>
      <c r="K8">
        <v>59.5</v>
      </c>
      <c r="L8">
        <v>0.59</v>
      </c>
      <c r="M8">
        <v>10.5</v>
      </c>
      <c r="N8">
        <v>0.28999999999999998</v>
      </c>
      <c r="O8">
        <v>0.19</v>
      </c>
      <c r="R8" t="s">
        <v>34</v>
      </c>
    </row>
    <row r="9" spans="1:18">
      <c r="C9">
        <v>4</v>
      </c>
      <c r="D9" t="s">
        <v>7</v>
      </c>
      <c r="E9">
        <v>15</v>
      </c>
      <c r="F9">
        <v>6.9762449600000007</v>
      </c>
      <c r="G9">
        <v>1.1793392</v>
      </c>
      <c r="H9">
        <v>3.2205031999999995E-2</v>
      </c>
      <c r="I9">
        <v>2.1772415999999999E-2</v>
      </c>
      <c r="J9">
        <v>11.974828799999999</v>
      </c>
      <c r="K9">
        <v>58.2</v>
      </c>
      <c r="L9">
        <v>0.56999999999999995</v>
      </c>
      <c r="M9">
        <v>9.8000000000000007</v>
      </c>
      <c r="N9">
        <v>0.27</v>
      </c>
      <c r="O9">
        <v>0.18</v>
      </c>
      <c r="R9" t="s">
        <v>35</v>
      </c>
    </row>
    <row r="10" spans="1:18">
      <c r="C10">
        <v>5</v>
      </c>
      <c r="D10" t="s">
        <v>7</v>
      </c>
      <c r="E10">
        <v>14</v>
      </c>
      <c r="F10">
        <v>6.5952276799999998</v>
      </c>
      <c r="G10">
        <v>1.05233344</v>
      </c>
      <c r="H10">
        <v>2.8576296000000001E-2</v>
      </c>
      <c r="I10">
        <v>1.9504456E-2</v>
      </c>
      <c r="J10">
        <v>11.566596000000001</v>
      </c>
      <c r="K10">
        <v>56.9</v>
      </c>
      <c r="L10">
        <v>0.55000000000000004</v>
      </c>
      <c r="M10">
        <v>9.1</v>
      </c>
      <c r="N10">
        <v>0.25</v>
      </c>
      <c r="O10">
        <v>0.17</v>
      </c>
      <c r="R10" t="s">
        <v>36</v>
      </c>
    </row>
    <row r="11" spans="1:18">
      <c r="C11">
        <v>6</v>
      </c>
      <c r="D11" t="s">
        <v>7</v>
      </c>
      <c r="E11">
        <v>13.2</v>
      </c>
      <c r="F11">
        <v>6.2867851199999993</v>
      </c>
      <c r="G11">
        <v>0.95254320000000003</v>
      </c>
      <c r="H11">
        <v>2.5401152E-2</v>
      </c>
      <c r="I11">
        <v>1.7690088E-2</v>
      </c>
      <c r="J11">
        <v>11.2490816</v>
      </c>
      <c r="K11">
        <v>55.9</v>
      </c>
      <c r="L11">
        <v>0.53</v>
      </c>
      <c r="M11">
        <v>8.5</v>
      </c>
      <c r="N11">
        <v>0.23</v>
      </c>
      <c r="O11">
        <v>0.16</v>
      </c>
      <c r="R11" t="s">
        <v>37</v>
      </c>
    </row>
    <row r="12" spans="1:18">
      <c r="C12">
        <v>7</v>
      </c>
      <c r="D12" t="s">
        <v>8</v>
      </c>
      <c r="E12">
        <v>12.7</v>
      </c>
      <c r="F12">
        <v>6.0872046399999995</v>
      </c>
      <c r="G12">
        <v>0.87543255999999992</v>
      </c>
      <c r="H12">
        <v>2.3133191999999997E-2</v>
      </c>
      <c r="I12">
        <v>1.6329311999999999E-2</v>
      </c>
      <c r="J12">
        <v>11.0222856</v>
      </c>
      <c r="K12">
        <v>55.3</v>
      </c>
      <c r="L12">
        <v>0.52</v>
      </c>
      <c r="M12">
        <v>8</v>
      </c>
      <c r="N12">
        <v>0.21</v>
      </c>
      <c r="O12">
        <v>0.15</v>
      </c>
      <c r="R12" t="s">
        <v>38</v>
      </c>
    </row>
    <row r="13" spans="1:18">
      <c r="C13">
        <v>8</v>
      </c>
      <c r="D13" t="s">
        <v>8</v>
      </c>
      <c r="E13">
        <v>9.5</v>
      </c>
      <c r="F13">
        <v>4.98497608</v>
      </c>
      <c r="G13">
        <v>0.68945984000000005</v>
      </c>
      <c r="H13">
        <v>1.7236496E-2</v>
      </c>
      <c r="I13">
        <v>1.3154168000000001E-2</v>
      </c>
      <c r="J13">
        <v>10.160460799999999</v>
      </c>
      <c r="K13">
        <v>49</v>
      </c>
      <c r="L13">
        <v>0.42</v>
      </c>
      <c r="M13">
        <v>6.8</v>
      </c>
      <c r="N13">
        <v>0.17</v>
      </c>
      <c r="O13">
        <v>0.13</v>
      </c>
      <c r="R13" t="s">
        <v>39</v>
      </c>
    </row>
    <row r="14" spans="1:18">
      <c r="C14">
        <v>9</v>
      </c>
      <c r="D14" t="s">
        <v>8</v>
      </c>
      <c r="E14">
        <v>9.9</v>
      </c>
      <c r="F14">
        <v>5.10744592</v>
      </c>
      <c r="G14">
        <v>0.71667535999999998</v>
      </c>
      <c r="H14">
        <v>1.7236496E-2</v>
      </c>
      <c r="I14">
        <v>1.3154168000000001E-2</v>
      </c>
      <c r="J14">
        <v>10.205819999999999</v>
      </c>
      <c r="K14">
        <v>50</v>
      </c>
      <c r="L14">
        <v>0.44</v>
      </c>
      <c r="M14">
        <v>7</v>
      </c>
      <c r="N14">
        <v>0.17</v>
      </c>
      <c r="O14">
        <v>0.13</v>
      </c>
    </row>
    <row r="15" spans="1:18">
      <c r="C15">
        <v>10</v>
      </c>
      <c r="D15" t="s">
        <v>9</v>
      </c>
      <c r="E15">
        <v>10.7</v>
      </c>
      <c r="F15">
        <v>5.3523855999999999</v>
      </c>
      <c r="G15">
        <v>0.76203455999999992</v>
      </c>
      <c r="H15">
        <v>2.9029888E-2</v>
      </c>
      <c r="I15">
        <v>1.8143679999999999E-2</v>
      </c>
      <c r="J15">
        <v>10.296538399999999</v>
      </c>
      <c r="K15">
        <v>52</v>
      </c>
      <c r="L15">
        <v>0.47</v>
      </c>
      <c r="M15">
        <v>7.4</v>
      </c>
      <c r="N15">
        <v>0.28000000000000003</v>
      </c>
      <c r="O15">
        <v>0.17</v>
      </c>
    </row>
    <row r="16" spans="1:18">
      <c r="C16">
        <v>11</v>
      </c>
      <c r="D16" t="s">
        <v>9</v>
      </c>
      <c r="E16">
        <v>11.8</v>
      </c>
      <c r="F16">
        <v>5.7107232799999998</v>
      </c>
      <c r="G16">
        <v>0.83460928000000001</v>
      </c>
      <c r="H16">
        <v>2.9029888E-2</v>
      </c>
      <c r="I16">
        <v>1.8143679999999999E-2</v>
      </c>
      <c r="J16">
        <v>10.477975200000001</v>
      </c>
      <c r="K16">
        <v>54.5</v>
      </c>
      <c r="L16">
        <v>0.51</v>
      </c>
      <c r="M16">
        <v>8</v>
      </c>
      <c r="N16">
        <v>0.27</v>
      </c>
      <c r="O16">
        <v>0.17</v>
      </c>
    </row>
    <row r="17" spans="1:17">
      <c r="C17">
        <v>12</v>
      </c>
      <c r="D17" t="s">
        <v>9</v>
      </c>
      <c r="E17">
        <v>13.5</v>
      </c>
      <c r="F17">
        <v>6.2777132799999995</v>
      </c>
      <c r="G17">
        <v>0.95707911999999995</v>
      </c>
      <c r="H17">
        <v>2.9029888E-2</v>
      </c>
      <c r="I17">
        <v>1.8143679999999999E-2</v>
      </c>
      <c r="J17">
        <v>10.7954896</v>
      </c>
      <c r="K17">
        <v>58.1</v>
      </c>
      <c r="L17">
        <v>0.56999999999999995</v>
      </c>
      <c r="M17">
        <v>8.8000000000000007</v>
      </c>
      <c r="N17">
        <v>0.27</v>
      </c>
      <c r="O17">
        <v>0.17</v>
      </c>
    </row>
    <row r="18" spans="1:17">
      <c r="F18">
        <v>0</v>
      </c>
      <c r="G18">
        <v>0</v>
      </c>
      <c r="H18">
        <v>0</v>
      </c>
      <c r="I18">
        <v>0</v>
      </c>
      <c r="J18">
        <v>0</v>
      </c>
    </row>
    <row r="19" spans="1:17">
      <c r="F19" t="e">
        <v>#VALUE!</v>
      </c>
      <c r="G19">
        <v>0</v>
      </c>
      <c r="H19">
        <v>0</v>
      </c>
      <c r="I19">
        <v>0</v>
      </c>
      <c r="J19">
        <v>0</v>
      </c>
      <c r="K19" t="s">
        <v>21</v>
      </c>
    </row>
    <row r="20" spans="1:17">
      <c r="A20" t="s">
        <v>22</v>
      </c>
      <c r="C20" t="s">
        <v>4</v>
      </c>
      <c r="D20" t="s">
        <v>5</v>
      </c>
      <c r="E20" t="s">
        <v>23</v>
      </c>
      <c r="F20" t="s">
        <v>116</v>
      </c>
      <c r="G20" t="s">
        <v>117</v>
      </c>
      <c r="H20" t="s">
        <v>118</v>
      </c>
      <c r="I20" t="s">
        <v>119</v>
      </c>
      <c r="J20" t="s">
        <v>120</v>
      </c>
      <c r="K20" t="s">
        <v>15</v>
      </c>
      <c r="L20" t="s">
        <v>16</v>
      </c>
      <c r="M20" t="s">
        <v>17</v>
      </c>
      <c r="N20" t="s">
        <v>24</v>
      </c>
      <c r="O20" t="s">
        <v>18</v>
      </c>
      <c r="P20" t="s">
        <v>19</v>
      </c>
      <c r="Q20" t="s">
        <v>20</v>
      </c>
    </row>
    <row r="21" spans="1:17">
      <c r="B21">
        <v>462.66383999999999</v>
      </c>
      <c r="C21">
        <v>1</v>
      </c>
      <c r="D21" t="s">
        <v>6</v>
      </c>
      <c r="E21">
        <v>14.8</v>
      </c>
      <c r="F21">
        <v>6.77666448</v>
      </c>
      <c r="G21">
        <v>0.13607759999999999</v>
      </c>
      <c r="H21">
        <v>1.0205820000000001</v>
      </c>
      <c r="I21">
        <v>2.7669111999999999E-2</v>
      </c>
      <c r="J21">
        <v>1.8143679999999999E-2</v>
      </c>
      <c r="K21">
        <v>23.3</v>
      </c>
      <c r="L21">
        <v>64</v>
      </c>
      <c r="M21">
        <v>0.66</v>
      </c>
      <c r="N21">
        <v>0.39</v>
      </c>
      <c r="O21">
        <v>9.6999999999999993</v>
      </c>
      <c r="P21">
        <v>0.26</v>
      </c>
      <c r="Q21">
        <v>0.17</v>
      </c>
    </row>
    <row r="22" spans="1:17">
      <c r="C22">
        <v>2</v>
      </c>
      <c r="D22" t="s">
        <v>6</v>
      </c>
      <c r="E22">
        <v>15.6</v>
      </c>
      <c r="F22">
        <v>7.0851070399999996</v>
      </c>
      <c r="G22">
        <v>0.13607759999999999</v>
      </c>
      <c r="H22">
        <v>1.1158363199999999</v>
      </c>
      <c r="I22">
        <v>3.0390664000000001E-2</v>
      </c>
      <c r="J22">
        <v>1.9504456E-2</v>
      </c>
      <c r="K22">
        <v>24.1</v>
      </c>
      <c r="L22">
        <v>64.900000000000006</v>
      </c>
      <c r="M22">
        <v>0.67</v>
      </c>
      <c r="N22">
        <v>0.39</v>
      </c>
      <c r="O22">
        <v>10.199999999999999</v>
      </c>
      <c r="P22">
        <v>0.28000000000000003</v>
      </c>
      <c r="Q22">
        <v>0.18</v>
      </c>
    </row>
    <row r="23" spans="1:17">
      <c r="C23">
        <v>3</v>
      </c>
      <c r="D23" t="s">
        <v>6</v>
      </c>
      <c r="E23">
        <v>15.3</v>
      </c>
      <c r="F23">
        <v>6.9807808800000002</v>
      </c>
      <c r="G23">
        <v>0.13607759999999999</v>
      </c>
      <c r="H23">
        <v>1.0659411999999999</v>
      </c>
      <c r="I23">
        <v>2.9029888E-2</v>
      </c>
      <c r="J23">
        <v>1.8597272000000001E-2</v>
      </c>
      <c r="K23">
        <v>23.8</v>
      </c>
      <c r="L23">
        <v>64.599999999999994</v>
      </c>
      <c r="M23">
        <v>0.66</v>
      </c>
      <c r="N23">
        <v>0.39</v>
      </c>
      <c r="O23">
        <v>9.9</v>
      </c>
      <c r="P23">
        <v>0.27</v>
      </c>
      <c r="Q23">
        <v>0.17</v>
      </c>
    </row>
    <row r="24" spans="1:17">
      <c r="C24">
        <v>4</v>
      </c>
      <c r="D24" t="s">
        <v>7</v>
      </c>
      <c r="E24">
        <v>14.5</v>
      </c>
      <c r="F24">
        <v>6.6768742400000001</v>
      </c>
      <c r="G24">
        <v>0.13607759999999999</v>
      </c>
      <c r="H24">
        <v>0.97975872000000008</v>
      </c>
      <c r="I24">
        <v>2.6308336000000002E-2</v>
      </c>
      <c r="J24">
        <v>1.7236496E-2</v>
      </c>
      <c r="K24">
        <v>23.2</v>
      </c>
      <c r="L24">
        <v>63.5</v>
      </c>
      <c r="M24">
        <v>0.65</v>
      </c>
      <c r="N24">
        <v>0.39</v>
      </c>
      <c r="O24">
        <v>9.3000000000000007</v>
      </c>
      <c r="P24">
        <v>0.25</v>
      </c>
      <c r="Q24">
        <v>0.16</v>
      </c>
    </row>
    <row r="25" spans="1:17">
      <c r="C25">
        <v>5</v>
      </c>
      <c r="D25" t="s">
        <v>7</v>
      </c>
      <c r="E25">
        <v>13.8</v>
      </c>
      <c r="F25">
        <v>6.4137908800000005</v>
      </c>
      <c r="G25">
        <v>0.13607759999999999</v>
      </c>
      <c r="H25">
        <v>0.88904032</v>
      </c>
      <c r="I25">
        <v>2.3586784E-2</v>
      </c>
      <c r="J25">
        <v>1.5875720000000003E-2</v>
      </c>
      <c r="K25">
        <v>22.6</v>
      </c>
      <c r="L25">
        <v>62.6</v>
      </c>
      <c r="M25">
        <v>0.63</v>
      </c>
      <c r="N25">
        <v>0.39</v>
      </c>
      <c r="O25">
        <v>8.6999999999999993</v>
      </c>
      <c r="P25">
        <v>0.23</v>
      </c>
      <c r="Q25">
        <v>0.15</v>
      </c>
    </row>
    <row r="26" spans="1:17">
      <c r="C26">
        <v>6</v>
      </c>
      <c r="D26" t="s">
        <v>7</v>
      </c>
      <c r="E26">
        <v>13.3</v>
      </c>
      <c r="F26">
        <v>6.2187463200000002</v>
      </c>
      <c r="G26">
        <v>0.13607759999999999</v>
      </c>
      <c r="H26">
        <v>0.81192967999999999</v>
      </c>
      <c r="I26">
        <v>2.1318824E-2</v>
      </c>
      <c r="J26">
        <v>1.4514944E-2</v>
      </c>
      <c r="K26">
        <v>22.1</v>
      </c>
      <c r="L26">
        <v>62</v>
      </c>
      <c r="M26">
        <v>0.63</v>
      </c>
      <c r="N26">
        <v>0.39</v>
      </c>
      <c r="O26">
        <v>8.1</v>
      </c>
      <c r="P26">
        <v>0.21</v>
      </c>
      <c r="Q26">
        <v>0.14000000000000001</v>
      </c>
    </row>
    <row r="27" spans="1:17">
      <c r="C27">
        <v>7</v>
      </c>
      <c r="D27" t="s">
        <v>8</v>
      </c>
      <c r="E27">
        <v>12.9</v>
      </c>
      <c r="F27">
        <v>6.0690609600000007</v>
      </c>
      <c r="G27">
        <v>0.13607759999999999</v>
      </c>
      <c r="H27">
        <v>0.75749864</v>
      </c>
      <c r="I27">
        <v>1.9504456E-2</v>
      </c>
      <c r="J27">
        <v>1.360776E-2</v>
      </c>
      <c r="K27">
        <v>21.8</v>
      </c>
      <c r="L27">
        <v>61.4</v>
      </c>
      <c r="M27">
        <v>0.62</v>
      </c>
      <c r="N27">
        <v>0.39</v>
      </c>
      <c r="O27">
        <v>7.7</v>
      </c>
      <c r="P27">
        <v>0.2</v>
      </c>
      <c r="Q27">
        <v>0.14000000000000001</v>
      </c>
    </row>
    <row r="28" spans="1:17">
      <c r="C28">
        <v>8</v>
      </c>
      <c r="D28" t="s">
        <v>8</v>
      </c>
      <c r="E28">
        <v>8.1</v>
      </c>
      <c r="F28">
        <v>4.4678811999999999</v>
      </c>
      <c r="G28">
        <v>0.13607759999999999</v>
      </c>
      <c r="H28">
        <v>0.6259569599999999</v>
      </c>
      <c r="I28">
        <v>1.5422128E-2</v>
      </c>
      <c r="J28">
        <v>1.1339800000000001E-2</v>
      </c>
      <c r="K28">
        <v>19.399999999999999</v>
      </c>
      <c r="L28">
        <v>50.8</v>
      </c>
      <c r="M28">
        <v>0.45</v>
      </c>
      <c r="N28">
        <v>0.39</v>
      </c>
      <c r="O28">
        <v>7.1</v>
      </c>
      <c r="P28">
        <v>0.17</v>
      </c>
      <c r="Q28">
        <v>0.13</v>
      </c>
    </row>
    <row r="29" spans="1:17">
      <c r="C29">
        <v>9</v>
      </c>
      <c r="D29" t="s">
        <v>8</v>
      </c>
      <c r="E29">
        <v>8.5</v>
      </c>
      <c r="F29">
        <v>4.5858151199999995</v>
      </c>
      <c r="G29">
        <v>0.13607759999999999</v>
      </c>
      <c r="H29">
        <v>0.64863655999999992</v>
      </c>
      <c r="I29">
        <v>1.5422128E-2</v>
      </c>
      <c r="J29">
        <v>1.1339800000000001E-2</v>
      </c>
      <c r="K29">
        <v>19.5</v>
      </c>
      <c r="L29">
        <v>51.7</v>
      </c>
      <c r="M29">
        <v>0.47</v>
      </c>
      <c r="N29">
        <v>0.39</v>
      </c>
      <c r="O29">
        <v>7.3</v>
      </c>
      <c r="P29">
        <v>0.17</v>
      </c>
      <c r="Q29">
        <v>0.13</v>
      </c>
    </row>
    <row r="30" spans="1:17">
      <c r="C30">
        <v>10</v>
      </c>
      <c r="D30" t="s">
        <v>9</v>
      </c>
      <c r="E30">
        <v>9.1999999999999993</v>
      </c>
      <c r="F30">
        <v>4.7990033600000004</v>
      </c>
      <c r="G30">
        <v>0.13607759999999999</v>
      </c>
      <c r="H30">
        <v>0.68945984000000005</v>
      </c>
      <c r="I30">
        <v>2.4947560000000001E-2</v>
      </c>
      <c r="J30">
        <v>1.4968536000000001E-2</v>
      </c>
      <c r="K30">
        <v>19.8</v>
      </c>
      <c r="L30">
        <v>53.4</v>
      </c>
      <c r="M30">
        <v>0.49</v>
      </c>
      <c r="N30">
        <v>0.39</v>
      </c>
      <c r="O30">
        <v>7.7</v>
      </c>
      <c r="P30">
        <v>0.28000000000000003</v>
      </c>
      <c r="Q30">
        <v>0.17</v>
      </c>
    </row>
    <row r="31" spans="1:17">
      <c r="C31">
        <v>11</v>
      </c>
      <c r="D31" t="s">
        <v>9</v>
      </c>
      <c r="E31">
        <v>10.199999999999999</v>
      </c>
      <c r="F31">
        <v>5.1165177599999998</v>
      </c>
      <c r="G31">
        <v>0.13607759999999999</v>
      </c>
      <c r="H31">
        <v>0.75296271999999997</v>
      </c>
      <c r="I31">
        <v>2.4947560000000001E-2</v>
      </c>
      <c r="J31">
        <v>1.4968536000000001E-2</v>
      </c>
      <c r="K31">
        <v>20.2</v>
      </c>
      <c r="L31">
        <v>55.8</v>
      </c>
      <c r="M31">
        <v>0.53</v>
      </c>
      <c r="N31">
        <v>0.39</v>
      </c>
      <c r="O31">
        <v>8.1999999999999993</v>
      </c>
      <c r="P31">
        <v>0.27</v>
      </c>
      <c r="Q31">
        <v>0.16</v>
      </c>
    </row>
    <row r="32" spans="1:17">
      <c r="C32">
        <v>12</v>
      </c>
      <c r="D32" t="s">
        <v>9</v>
      </c>
      <c r="E32">
        <v>11.6</v>
      </c>
      <c r="F32">
        <v>5.5655738399999999</v>
      </c>
      <c r="G32">
        <v>0.13607759999999999</v>
      </c>
      <c r="H32">
        <v>0.85275295999999989</v>
      </c>
      <c r="I32">
        <v>2.4947560000000001E-2</v>
      </c>
      <c r="J32">
        <v>1.4968536000000001E-2</v>
      </c>
      <c r="K32">
        <v>20.9</v>
      </c>
      <c r="L32">
        <v>58.8</v>
      </c>
      <c r="M32">
        <v>0.57999999999999996</v>
      </c>
      <c r="N32">
        <v>0.39</v>
      </c>
      <c r="O32">
        <v>9</v>
      </c>
      <c r="P32">
        <v>0.26</v>
      </c>
      <c r="Q32">
        <v>0.16</v>
      </c>
    </row>
    <row r="33" spans="1:17">
      <c r="F33">
        <v>0</v>
      </c>
      <c r="G33">
        <v>0</v>
      </c>
      <c r="H33">
        <v>0</v>
      </c>
      <c r="I33">
        <v>0</v>
      </c>
      <c r="J33">
        <v>0</v>
      </c>
    </row>
    <row r="34" spans="1:17">
      <c r="F34" t="e">
        <v>#VALUE!</v>
      </c>
      <c r="G34">
        <v>0</v>
      </c>
      <c r="H34">
        <v>0</v>
      </c>
      <c r="I34">
        <v>0</v>
      </c>
      <c r="J34">
        <v>0</v>
      </c>
      <c r="K34" t="s">
        <v>21</v>
      </c>
    </row>
    <row r="35" spans="1:17">
      <c r="A35" t="s">
        <v>25</v>
      </c>
      <c r="C35" t="s">
        <v>26</v>
      </c>
      <c r="D35" t="s">
        <v>122</v>
      </c>
      <c r="E35" t="s">
        <v>23</v>
      </c>
      <c r="F35" t="e">
        <v>#VALUE!</v>
      </c>
      <c r="G35" t="e">
        <v>#VALUE!</v>
      </c>
      <c r="H35" t="e">
        <v>#VALUE!</v>
      </c>
      <c r="I35" t="e">
        <v>#VALUE!</v>
      </c>
      <c r="J35" t="e">
        <v>#VALUE!</v>
      </c>
      <c r="K35" t="s">
        <v>15</v>
      </c>
      <c r="L35" t="s">
        <v>16</v>
      </c>
      <c r="M35" t="s">
        <v>17</v>
      </c>
      <c r="N35" t="s">
        <v>24</v>
      </c>
      <c r="O35" t="s">
        <v>18</v>
      </c>
      <c r="P35" t="s">
        <v>19</v>
      </c>
      <c r="Q35" t="s">
        <v>20</v>
      </c>
    </row>
    <row r="36" spans="1:17">
      <c r="B36">
        <v>589.66959999999995</v>
      </c>
      <c r="C36">
        <v>1</v>
      </c>
      <c r="D36">
        <v>370.13107200000002</v>
      </c>
      <c r="E36">
        <v>6.6</v>
      </c>
      <c r="F36">
        <v>4.5676714399999998</v>
      </c>
      <c r="G36">
        <v>0.86182479999999995</v>
      </c>
      <c r="H36">
        <v>0.69853167999999999</v>
      </c>
      <c r="I36">
        <v>2.2226008000000002E-2</v>
      </c>
      <c r="J36">
        <v>1.2700576E-2</v>
      </c>
      <c r="K36">
        <v>17</v>
      </c>
      <c r="L36">
        <v>59.4</v>
      </c>
      <c r="M36">
        <v>0.59</v>
      </c>
      <c r="N36">
        <v>0.33</v>
      </c>
      <c r="O36">
        <v>9.1</v>
      </c>
      <c r="P36">
        <v>0.28999999999999998</v>
      </c>
      <c r="Q36">
        <v>0.17</v>
      </c>
    </row>
    <row r="37" spans="1:17">
      <c r="C37">
        <v>2</v>
      </c>
      <c r="E37">
        <v>6.9</v>
      </c>
      <c r="F37">
        <v>4.7400363999999993</v>
      </c>
      <c r="G37">
        <v>0.86182479999999995</v>
      </c>
      <c r="H37">
        <v>0.71213944000000007</v>
      </c>
      <c r="I37">
        <v>2.2226008000000002E-2</v>
      </c>
      <c r="J37">
        <v>1.3154168000000001E-2</v>
      </c>
      <c r="K37">
        <v>17.5</v>
      </c>
      <c r="L37">
        <v>59.6</v>
      </c>
      <c r="M37">
        <v>0.59</v>
      </c>
      <c r="N37">
        <v>0.33</v>
      </c>
      <c r="O37">
        <v>8.9</v>
      </c>
      <c r="P37">
        <v>0.28000000000000003</v>
      </c>
      <c r="Q37">
        <v>0.16</v>
      </c>
    </row>
    <row r="38" spans="1:17">
      <c r="C38">
        <v>3</v>
      </c>
      <c r="E38">
        <v>7.1</v>
      </c>
      <c r="F38">
        <v>4.8761140000000003</v>
      </c>
      <c r="G38">
        <v>0.90718399999999999</v>
      </c>
      <c r="H38">
        <v>0.72574720000000004</v>
      </c>
      <c r="I38">
        <v>2.2679600000000001E-2</v>
      </c>
      <c r="J38">
        <v>1.3154168000000001E-2</v>
      </c>
      <c r="K38">
        <v>18</v>
      </c>
      <c r="L38">
        <v>59.6</v>
      </c>
      <c r="M38">
        <v>0.59</v>
      </c>
      <c r="N38">
        <v>0.33</v>
      </c>
      <c r="O38">
        <v>8.8000000000000007</v>
      </c>
      <c r="P38">
        <v>0.28000000000000003</v>
      </c>
      <c r="Q38">
        <v>0.16</v>
      </c>
    </row>
    <row r="39" spans="1:17">
      <c r="C39">
        <v>4</v>
      </c>
      <c r="E39">
        <v>7.5</v>
      </c>
      <c r="F39">
        <v>5.0711585599999998</v>
      </c>
      <c r="G39">
        <v>0.90718399999999999</v>
      </c>
      <c r="H39">
        <v>0.73935495999999989</v>
      </c>
      <c r="I39">
        <v>2.2679600000000001E-2</v>
      </c>
      <c r="J39">
        <v>1.360776E-2</v>
      </c>
      <c r="K39">
        <v>18.600000000000001</v>
      </c>
      <c r="L39">
        <v>60</v>
      </c>
      <c r="M39">
        <v>0.59</v>
      </c>
      <c r="N39">
        <v>0.33</v>
      </c>
      <c r="O39">
        <v>8.8000000000000007</v>
      </c>
      <c r="P39">
        <v>0.27</v>
      </c>
      <c r="Q39">
        <v>0.16</v>
      </c>
    </row>
    <row r="40" spans="1:17">
      <c r="C40">
        <v>5</v>
      </c>
      <c r="E40">
        <v>7.9</v>
      </c>
      <c r="F40">
        <v>5.2616671999999998</v>
      </c>
      <c r="G40">
        <v>0.95254320000000003</v>
      </c>
      <c r="H40">
        <v>0.76657047999999994</v>
      </c>
      <c r="I40">
        <v>2.3133191999999997E-2</v>
      </c>
      <c r="J40">
        <v>1.4061351999999999E-2</v>
      </c>
      <c r="K40">
        <v>19.2</v>
      </c>
      <c r="L40">
        <v>60.3</v>
      </c>
      <c r="M40">
        <v>0.6</v>
      </c>
      <c r="N40">
        <v>0.34</v>
      </c>
      <c r="O40">
        <v>8.8000000000000007</v>
      </c>
      <c r="P40">
        <v>0.26</v>
      </c>
      <c r="Q40">
        <v>0.16</v>
      </c>
    </row>
    <row r="41" spans="1:17">
      <c r="C41">
        <v>6</v>
      </c>
      <c r="E41">
        <v>8.5</v>
      </c>
      <c r="F41">
        <v>5.5020709600000002</v>
      </c>
      <c r="G41">
        <v>0.95254320000000003</v>
      </c>
      <c r="H41">
        <v>0.79832192000000002</v>
      </c>
      <c r="I41">
        <v>2.3586784E-2</v>
      </c>
      <c r="J41">
        <v>1.4061351999999999E-2</v>
      </c>
      <c r="K41">
        <v>19.899999999999999</v>
      </c>
      <c r="L41">
        <v>61</v>
      </c>
      <c r="M41">
        <v>0.61</v>
      </c>
      <c r="N41">
        <v>0.35</v>
      </c>
      <c r="O41">
        <v>8.9</v>
      </c>
      <c r="P41">
        <v>0.26</v>
      </c>
      <c r="Q41">
        <v>0.16</v>
      </c>
    </row>
    <row r="42" spans="1:17">
      <c r="C42">
        <v>7</v>
      </c>
      <c r="E42">
        <v>9.3000000000000007</v>
      </c>
      <c r="F42">
        <v>5.7878339199999997</v>
      </c>
      <c r="G42">
        <v>0.95254320000000003</v>
      </c>
      <c r="H42">
        <v>0.85275295999999989</v>
      </c>
      <c r="I42">
        <v>3.3565807999999996E-2</v>
      </c>
      <c r="J42">
        <v>1.8597272000000001E-2</v>
      </c>
      <c r="K42">
        <v>20.6</v>
      </c>
      <c r="L42">
        <v>62</v>
      </c>
      <c r="M42">
        <v>0.63</v>
      </c>
      <c r="N42">
        <v>0.36</v>
      </c>
      <c r="O42">
        <v>9.1</v>
      </c>
      <c r="P42">
        <v>0.36</v>
      </c>
      <c r="Q42">
        <v>0.2</v>
      </c>
    </row>
    <row r="43" spans="1:17">
      <c r="C43">
        <v>8</v>
      </c>
      <c r="E43">
        <v>10.5</v>
      </c>
      <c r="F43">
        <v>6.1733871200000001</v>
      </c>
      <c r="G43">
        <v>0.90718399999999999</v>
      </c>
      <c r="H43">
        <v>0.93439952000000004</v>
      </c>
      <c r="I43">
        <v>3.4472992000000001E-2</v>
      </c>
      <c r="J43">
        <v>1.9050864000000001E-2</v>
      </c>
      <c r="K43">
        <v>21.4</v>
      </c>
      <c r="L43">
        <v>63.5</v>
      </c>
      <c r="M43">
        <v>0.65</v>
      </c>
      <c r="N43">
        <v>0.38</v>
      </c>
      <c r="O43">
        <v>9.6</v>
      </c>
      <c r="P43">
        <v>0.35</v>
      </c>
      <c r="Q43">
        <v>0.2</v>
      </c>
    </row>
    <row r="44" spans="1:17">
      <c r="C44">
        <v>9</v>
      </c>
      <c r="D44">
        <v>546.57835999999998</v>
      </c>
      <c r="E44">
        <v>12.1</v>
      </c>
      <c r="F44">
        <v>6.6496587199999997</v>
      </c>
      <c r="G44">
        <v>0.81646560000000001</v>
      </c>
      <c r="H44">
        <v>1.0659411999999999</v>
      </c>
      <c r="I44">
        <v>3.5380175999999999E-2</v>
      </c>
      <c r="J44">
        <v>1.9504456E-2</v>
      </c>
      <c r="K44">
        <v>22.4</v>
      </c>
      <c r="L44">
        <v>65.400000000000006</v>
      </c>
      <c r="M44">
        <v>0.68</v>
      </c>
      <c r="N44">
        <v>0.41</v>
      </c>
      <c r="O44">
        <v>10.5</v>
      </c>
      <c r="P44">
        <v>0.35</v>
      </c>
      <c r="Q44">
        <v>0.19</v>
      </c>
    </row>
    <row r="45" spans="1:17">
      <c r="F45">
        <v>0</v>
      </c>
      <c r="G45">
        <v>0</v>
      </c>
      <c r="H45">
        <v>0</v>
      </c>
      <c r="I45">
        <v>0</v>
      </c>
      <c r="J45">
        <v>0</v>
      </c>
    </row>
    <row r="46" spans="1:17">
      <c r="F46" t="e">
        <v>#VALUE!</v>
      </c>
      <c r="G46">
        <v>0</v>
      </c>
      <c r="H46">
        <v>0</v>
      </c>
      <c r="I46">
        <v>0</v>
      </c>
      <c r="J46">
        <v>0</v>
      </c>
      <c r="K46" t="s">
        <v>21</v>
      </c>
    </row>
    <row r="47" spans="1:17">
      <c r="A47" t="s">
        <v>29</v>
      </c>
      <c r="C47" t="s">
        <v>121</v>
      </c>
      <c r="E47" t="s">
        <v>23</v>
      </c>
      <c r="F47" t="e">
        <v>#VALUE!</v>
      </c>
      <c r="G47" t="e">
        <v>#VALUE!</v>
      </c>
      <c r="H47" t="e">
        <v>#VALUE!</v>
      </c>
      <c r="I47" t="e">
        <v>#VALUE!</v>
      </c>
      <c r="J47" t="e">
        <v>#VALUE!</v>
      </c>
      <c r="K47" t="s">
        <v>15</v>
      </c>
      <c r="L47" t="s">
        <v>16</v>
      </c>
      <c r="M47" t="s">
        <v>17</v>
      </c>
      <c r="N47" t="s">
        <v>24</v>
      </c>
      <c r="O47" t="s">
        <v>18</v>
      </c>
      <c r="P47" t="s">
        <v>19</v>
      </c>
      <c r="Q47" t="s">
        <v>20</v>
      </c>
    </row>
    <row r="48" spans="1:17">
      <c r="B48">
        <v>589.66959999999995</v>
      </c>
      <c r="C48">
        <v>181.43680000000001</v>
      </c>
      <c r="D48">
        <v>0.453592</v>
      </c>
      <c r="E48">
        <v>3.9</v>
      </c>
      <c r="F48">
        <v>2.5718666400000001</v>
      </c>
      <c r="G48">
        <v>0.453592</v>
      </c>
      <c r="H48">
        <v>0.47173567999999999</v>
      </c>
      <c r="I48">
        <v>1.8143679999999999E-2</v>
      </c>
      <c r="J48">
        <v>9.0718399999999994E-3</v>
      </c>
      <c r="K48">
        <v>9.5</v>
      </c>
      <c r="L48">
        <v>59.5</v>
      </c>
      <c r="M48">
        <v>0.59</v>
      </c>
      <c r="N48">
        <v>0.33</v>
      </c>
      <c r="O48">
        <v>10.9</v>
      </c>
      <c r="P48">
        <v>0.42</v>
      </c>
      <c r="Q48">
        <v>0.21</v>
      </c>
    </row>
    <row r="49" spans="3:17">
      <c r="C49">
        <v>226.79599999999999</v>
      </c>
      <c r="D49">
        <v>0.453592</v>
      </c>
      <c r="E49">
        <v>4.5999999999999996</v>
      </c>
      <c r="F49">
        <v>3.0345304800000004</v>
      </c>
      <c r="G49">
        <v>0.54431039999999997</v>
      </c>
      <c r="H49">
        <v>0.50802304000000009</v>
      </c>
      <c r="I49">
        <v>1.8597272000000001E-2</v>
      </c>
      <c r="J49">
        <v>9.9790239999999995E-3</v>
      </c>
      <c r="K49">
        <v>11.3</v>
      </c>
      <c r="L49">
        <v>59.4</v>
      </c>
      <c r="M49">
        <v>0.59</v>
      </c>
      <c r="N49">
        <v>0.33</v>
      </c>
      <c r="O49">
        <v>10</v>
      </c>
      <c r="P49">
        <v>0.36</v>
      </c>
      <c r="Q49">
        <v>0.19</v>
      </c>
    </row>
    <row r="50" spans="3:17">
      <c r="C50">
        <v>272.15519999999998</v>
      </c>
      <c r="D50">
        <v>0.453592</v>
      </c>
      <c r="E50">
        <v>5.3</v>
      </c>
      <c r="F50">
        <v>3.4926583999999998</v>
      </c>
      <c r="G50">
        <v>0.58966960000000002</v>
      </c>
      <c r="H50">
        <v>0.54431039999999997</v>
      </c>
      <c r="I50">
        <v>1.9050864000000001E-2</v>
      </c>
      <c r="J50">
        <v>1.0886208E-2</v>
      </c>
      <c r="K50">
        <v>12.9</v>
      </c>
      <c r="L50">
        <v>59.5</v>
      </c>
      <c r="M50">
        <v>0.59</v>
      </c>
      <c r="N50">
        <v>0.33</v>
      </c>
      <c r="O50">
        <v>9.3000000000000007</v>
      </c>
      <c r="P50">
        <v>0.33</v>
      </c>
      <c r="Q50">
        <v>0.18</v>
      </c>
    </row>
    <row r="51" spans="3:17">
      <c r="C51">
        <v>317.51440000000002</v>
      </c>
      <c r="D51">
        <v>0.453592</v>
      </c>
      <c r="E51">
        <v>5.9</v>
      </c>
      <c r="F51">
        <v>3.9054271199999997</v>
      </c>
      <c r="G51">
        <v>0.68038799999999999</v>
      </c>
      <c r="H51">
        <v>0.58059775999999996</v>
      </c>
      <c r="I51">
        <v>1.9958047999999999E-2</v>
      </c>
      <c r="J51">
        <v>1.1339800000000001E-2</v>
      </c>
      <c r="K51">
        <v>14.5</v>
      </c>
      <c r="L51">
        <v>59.4</v>
      </c>
      <c r="M51">
        <v>0.59</v>
      </c>
      <c r="N51">
        <v>0.33</v>
      </c>
      <c r="O51">
        <v>8.8000000000000007</v>
      </c>
      <c r="P51">
        <v>0.3</v>
      </c>
      <c r="Q51">
        <v>0.17</v>
      </c>
    </row>
    <row r="52" spans="3:17">
      <c r="C52">
        <v>362.87360000000001</v>
      </c>
      <c r="D52">
        <v>0.453592</v>
      </c>
      <c r="E52">
        <v>6.5</v>
      </c>
      <c r="F52">
        <v>4.3091239999999997</v>
      </c>
      <c r="G52">
        <v>0.72574720000000004</v>
      </c>
      <c r="H52">
        <v>0.61234920000000004</v>
      </c>
      <c r="I52">
        <v>2.0865232000000001E-2</v>
      </c>
      <c r="J52">
        <v>1.2246983999999999E-2</v>
      </c>
      <c r="K52">
        <v>16</v>
      </c>
      <c r="L52">
        <v>59.3</v>
      </c>
      <c r="M52">
        <v>0.59</v>
      </c>
      <c r="N52">
        <v>0.33</v>
      </c>
      <c r="O52">
        <v>8.4</v>
      </c>
      <c r="P52">
        <v>0.28000000000000003</v>
      </c>
      <c r="Q52">
        <v>0.17</v>
      </c>
    </row>
    <row r="53" spans="3:17">
      <c r="C53">
        <v>181.43680000000001</v>
      </c>
      <c r="D53">
        <v>0.68038799999999999</v>
      </c>
      <c r="E53">
        <v>3.9</v>
      </c>
      <c r="F53">
        <v>2.8304140800000002</v>
      </c>
      <c r="G53">
        <v>0.68038799999999999</v>
      </c>
      <c r="H53">
        <v>0.56698999999999999</v>
      </c>
      <c r="I53">
        <v>2.4040375999999999E-2</v>
      </c>
      <c r="J53">
        <v>1.1793392E-2</v>
      </c>
      <c r="K53">
        <v>9.6999999999999993</v>
      </c>
      <c r="L53">
        <v>64</v>
      </c>
      <c r="M53">
        <v>0.66</v>
      </c>
      <c r="N53">
        <v>0.39</v>
      </c>
      <c r="O53">
        <v>12.8</v>
      </c>
      <c r="P53">
        <v>0.54</v>
      </c>
      <c r="Q53">
        <v>0.26</v>
      </c>
    </row>
    <row r="54" spans="3:17">
      <c r="C54">
        <v>226.79599999999999</v>
      </c>
      <c r="D54">
        <v>0.68038799999999999</v>
      </c>
      <c r="E54">
        <v>4.5999999999999996</v>
      </c>
      <c r="F54">
        <v>3.34297304</v>
      </c>
      <c r="G54">
        <v>0.81646560000000001</v>
      </c>
      <c r="H54">
        <v>0.59874144000000007</v>
      </c>
      <c r="I54">
        <v>2.4493967999999998E-2</v>
      </c>
      <c r="J54">
        <v>1.2246983999999999E-2</v>
      </c>
      <c r="K54">
        <v>11.5</v>
      </c>
      <c r="L54">
        <v>64</v>
      </c>
      <c r="M54">
        <v>0.66</v>
      </c>
      <c r="N54">
        <v>0.39</v>
      </c>
      <c r="O54">
        <v>11.5</v>
      </c>
      <c r="P54">
        <v>0.47</v>
      </c>
      <c r="Q54">
        <v>0.23</v>
      </c>
    </row>
    <row r="55" spans="3:17">
      <c r="C55">
        <v>272.15519999999998</v>
      </c>
      <c r="D55">
        <v>0.68038799999999999</v>
      </c>
      <c r="E55">
        <v>5.3</v>
      </c>
      <c r="F55">
        <v>3.8419242400000004</v>
      </c>
      <c r="G55">
        <v>0.90718399999999999</v>
      </c>
      <c r="H55">
        <v>0.63049287999999992</v>
      </c>
      <c r="I55">
        <v>2.4493967999999998E-2</v>
      </c>
      <c r="J55">
        <v>1.2700576E-2</v>
      </c>
      <c r="K55">
        <v>13.2</v>
      </c>
      <c r="L55">
        <v>64.099999999999994</v>
      </c>
      <c r="M55">
        <v>0.66</v>
      </c>
      <c r="N55">
        <v>0.39</v>
      </c>
      <c r="O55">
        <v>10.5</v>
      </c>
      <c r="P55">
        <v>0.41</v>
      </c>
      <c r="Q55">
        <v>0.21</v>
      </c>
    </row>
    <row r="56" spans="3:17">
      <c r="C56">
        <v>317.51440000000002</v>
      </c>
      <c r="D56">
        <v>0.68038799999999999</v>
      </c>
      <c r="E56">
        <v>5.9</v>
      </c>
      <c r="F56">
        <v>4.2955162400000004</v>
      </c>
      <c r="G56">
        <v>0.99790240000000008</v>
      </c>
      <c r="H56">
        <v>0.65770839999999997</v>
      </c>
      <c r="I56">
        <v>2.4947560000000001E-2</v>
      </c>
      <c r="J56">
        <v>1.360776E-2</v>
      </c>
      <c r="K56">
        <v>14.8</v>
      </c>
      <c r="L56">
        <v>63.9</v>
      </c>
      <c r="M56">
        <v>0.65</v>
      </c>
      <c r="N56">
        <v>0.39</v>
      </c>
      <c r="O56">
        <v>9.8000000000000007</v>
      </c>
      <c r="P56">
        <v>0.37</v>
      </c>
      <c r="Q56">
        <v>0.2</v>
      </c>
    </row>
    <row r="57" spans="3:17">
      <c r="C57">
        <v>362.87360000000001</v>
      </c>
      <c r="D57">
        <v>0.68038799999999999</v>
      </c>
      <c r="E57">
        <v>6.5</v>
      </c>
      <c r="F57">
        <v>4.7445723200000005</v>
      </c>
      <c r="G57">
        <v>1.13398</v>
      </c>
      <c r="H57">
        <v>0.68492392000000002</v>
      </c>
      <c r="I57">
        <v>2.5401152E-2</v>
      </c>
      <c r="J57">
        <v>1.4061351999999999E-2</v>
      </c>
      <c r="K57">
        <v>16.399999999999999</v>
      </c>
      <c r="L57">
        <v>63.9</v>
      </c>
      <c r="M57">
        <v>0.65</v>
      </c>
      <c r="N57">
        <v>0.39</v>
      </c>
      <c r="O57">
        <v>9.1999999999999993</v>
      </c>
      <c r="P57">
        <v>0.34</v>
      </c>
      <c r="Q57">
        <v>0.19</v>
      </c>
    </row>
    <row r="58" spans="3:17">
      <c r="C58">
        <v>181.43680000000001</v>
      </c>
      <c r="D58">
        <v>0.90718399999999999</v>
      </c>
      <c r="E58">
        <v>3.9</v>
      </c>
      <c r="F58">
        <v>3.0662819199999998</v>
      </c>
      <c r="G58">
        <v>0.95254320000000003</v>
      </c>
      <c r="H58">
        <v>0.66224432</v>
      </c>
      <c r="I58">
        <v>2.9937072000000002E-2</v>
      </c>
      <c r="J58">
        <v>1.4061351999999999E-2</v>
      </c>
      <c r="K58">
        <v>9.8000000000000007</v>
      </c>
      <c r="L58">
        <v>69.2</v>
      </c>
      <c r="M58">
        <v>0.73</v>
      </c>
      <c r="N58">
        <v>0.46</v>
      </c>
      <c r="O58">
        <v>14.9</v>
      </c>
      <c r="P58">
        <v>0.68</v>
      </c>
      <c r="Q58">
        <v>0.32</v>
      </c>
    </row>
    <row r="59" spans="3:17">
      <c r="C59">
        <v>226.79599999999999</v>
      </c>
      <c r="D59">
        <v>0.90718399999999999</v>
      </c>
      <c r="E59">
        <v>4.5999999999999996</v>
      </c>
      <c r="F59">
        <v>3.62420008</v>
      </c>
      <c r="G59">
        <v>1.0886207999999999</v>
      </c>
      <c r="H59">
        <v>0.68492392000000002</v>
      </c>
      <c r="I59">
        <v>2.9937072000000002E-2</v>
      </c>
      <c r="J59">
        <v>1.4514944E-2</v>
      </c>
      <c r="K59">
        <v>11.6</v>
      </c>
      <c r="L59">
        <v>69.099999999999994</v>
      </c>
      <c r="M59">
        <v>0.73</v>
      </c>
      <c r="N59">
        <v>0.46</v>
      </c>
      <c r="O59">
        <v>13.1</v>
      </c>
      <c r="P59">
        <v>0.56999999999999995</v>
      </c>
      <c r="Q59">
        <v>0.28000000000000003</v>
      </c>
    </row>
    <row r="60" spans="3:17">
      <c r="C60">
        <v>272.15519999999998</v>
      </c>
      <c r="D60">
        <v>0.90718399999999999</v>
      </c>
      <c r="E60">
        <v>5.3</v>
      </c>
      <c r="F60">
        <v>4.1594386400000003</v>
      </c>
      <c r="G60">
        <v>1.2246984000000001</v>
      </c>
      <c r="H60">
        <v>0.71213944000000007</v>
      </c>
      <c r="I60">
        <v>2.9937072000000002E-2</v>
      </c>
      <c r="J60">
        <v>1.4968536000000001E-2</v>
      </c>
      <c r="K60">
        <v>13.2</v>
      </c>
      <c r="L60">
        <v>69.2</v>
      </c>
      <c r="M60">
        <v>0.73</v>
      </c>
      <c r="N60">
        <v>0.46</v>
      </c>
      <c r="O60">
        <v>11.8</v>
      </c>
      <c r="P60">
        <v>0.5</v>
      </c>
      <c r="Q60">
        <v>0.25</v>
      </c>
    </row>
    <row r="61" spans="3:17">
      <c r="C61">
        <v>317.51440000000002</v>
      </c>
      <c r="D61">
        <v>0.90718399999999999</v>
      </c>
      <c r="E61">
        <v>5.9</v>
      </c>
      <c r="F61">
        <v>4.6583898399999999</v>
      </c>
      <c r="G61">
        <v>1.4061352</v>
      </c>
      <c r="H61">
        <v>0.73481904000000009</v>
      </c>
      <c r="I61">
        <v>2.9483479999999999E-2</v>
      </c>
      <c r="J61">
        <v>1.5422128E-2</v>
      </c>
      <c r="K61">
        <v>14.9</v>
      </c>
      <c r="L61">
        <v>69.099999999999994</v>
      </c>
      <c r="M61">
        <v>0.73</v>
      </c>
      <c r="N61">
        <v>0.46</v>
      </c>
      <c r="O61">
        <v>10.9</v>
      </c>
      <c r="P61">
        <v>0.44</v>
      </c>
      <c r="Q61">
        <v>0.23</v>
      </c>
    </row>
    <row r="62" spans="3:17">
      <c r="C62">
        <v>362.87360000000001</v>
      </c>
      <c r="D62">
        <v>0.90718399999999999</v>
      </c>
      <c r="E62">
        <v>6.5</v>
      </c>
      <c r="F62">
        <v>5.1437332800000002</v>
      </c>
      <c r="G62">
        <v>1.5422127999999999</v>
      </c>
      <c r="H62">
        <v>0.75749864</v>
      </c>
      <c r="I62">
        <v>2.9483479999999999E-2</v>
      </c>
      <c r="J62">
        <v>1.5875720000000003E-2</v>
      </c>
      <c r="K62">
        <v>16.399999999999999</v>
      </c>
      <c r="L62">
        <v>69</v>
      </c>
      <c r="M62">
        <v>0.73</v>
      </c>
      <c r="N62">
        <v>0.45</v>
      </c>
      <c r="O62">
        <v>10.1</v>
      </c>
      <c r="P62">
        <v>0.4</v>
      </c>
      <c r="Q62">
        <v>0.21</v>
      </c>
    </row>
    <row r="63" spans="3:17">
      <c r="C63">
        <v>0</v>
      </c>
      <c r="D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3:17">
      <c r="C64">
        <v>0</v>
      </c>
      <c r="D64">
        <v>0</v>
      </c>
      <c r="F64" t="e">
        <v>#VALUE!</v>
      </c>
      <c r="G64">
        <v>0</v>
      </c>
      <c r="H64">
        <v>0</v>
      </c>
      <c r="I64">
        <v>0</v>
      </c>
      <c r="J64">
        <v>0</v>
      </c>
      <c r="K64" t="s">
        <v>21</v>
      </c>
    </row>
    <row r="65" spans="1:17">
      <c r="A65" t="s">
        <v>40</v>
      </c>
      <c r="C65" t="s">
        <v>121</v>
      </c>
      <c r="D65" t="s">
        <v>124</v>
      </c>
      <c r="E65" t="s">
        <v>23</v>
      </c>
      <c r="F65" t="s">
        <v>116</v>
      </c>
      <c r="G65" t="s">
        <v>117</v>
      </c>
      <c r="H65" t="s">
        <v>118</v>
      </c>
      <c r="I65" t="s">
        <v>119</v>
      </c>
      <c r="J65" t="s">
        <v>120</v>
      </c>
      <c r="K65" t="s">
        <v>15</v>
      </c>
      <c r="L65" t="s">
        <v>16</v>
      </c>
      <c r="M65" t="s">
        <v>17</v>
      </c>
      <c r="N65" t="s">
        <v>24</v>
      </c>
      <c r="O65" t="s">
        <v>18</v>
      </c>
      <c r="P65" t="s">
        <v>19</v>
      </c>
      <c r="Q65" t="s">
        <v>20</v>
      </c>
    </row>
    <row r="66" spans="1:17">
      <c r="B66">
        <v>544.31039999999996</v>
      </c>
      <c r="C66">
        <v>181.43680000000001</v>
      </c>
      <c r="D66">
        <v>0.68038799999999999</v>
      </c>
      <c r="E66">
        <v>3.9</v>
      </c>
      <c r="F66">
        <v>2.83948592</v>
      </c>
      <c r="G66">
        <v>0.72574720000000004</v>
      </c>
      <c r="H66">
        <v>0.56698999999999999</v>
      </c>
      <c r="I66">
        <v>2.3586784E-2</v>
      </c>
      <c r="J66">
        <v>1.1339800000000001E-2</v>
      </c>
      <c r="K66">
        <v>10</v>
      </c>
      <c r="L66">
        <v>62.3</v>
      </c>
      <c r="M66">
        <v>0.65</v>
      </c>
      <c r="N66">
        <v>0.39</v>
      </c>
      <c r="O66">
        <v>12.4</v>
      </c>
      <c r="P66">
        <v>0.52</v>
      </c>
      <c r="Q66">
        <v>0.25</v>
      </c>
    </row>
    <row r="67" spans="1:17">
      <c r="C67">
        <v>226.79599999999999</v>
      </c>
      <c r="D67">
        <v>0.68038799999999999</v>
      </c>
      <c r="E67">
        <v>4.5999999999999996</v>
      </c>
      <c r="F67">
        <v>3.3565808000000001</v>
      </c>
      <c r="G67">
        <v>0.86182479999999995</v>
      </c>
      <c r="H67">
        <v>0.59874144000000007</v>
      </c>
      <c r="I67">
        <v>2.4040375999999999E-2</v>
      </c>
      <c r="J67">
        <v>1.2246983999999999E-2</v>
      </c>
      <c r="K67">
        <v>11.9</v>
      </c>
      <c r="L67">
        <v>62.3</v>
      </c>
      <c r="M67">
        <v>0.65</v>
      </c>
      <c r="N67">
        <v>0.39</v>
      </c>
      <c r="O67">
        <v>11.1</v>
      </c>
      <c r="P67">
        <v>0.44</v>
      </c>
      <c r="Q67">
        <v>0.22</v>
      </c>
    </row>
    <row r="68" spans="1:17">
      <c r="C68">
        <v>272.15519999999998</v>
      </c>
      <c r="D68">
        <v>0.68038799999999999</v>
      </c>
      <c r="E68">
        <v>5.3</v>
      </c>
      <c r="F68">
        <v>3.8555320000000002</v>
      </c>
      <c r="G68">
        <v>0.95254320000000003</v>
      </c>
      <c r="H68">
        <v>0.6259569599999999</v>
      </c>
      <c r="I68">
        <v>2.4040375999999999E-2</v>
      </c>
      <c r="J68">
        <v>1.2700576E-2</v>
      </c>
      <c r="K68">
        <v>13.6</v>
      </c>
      <c r="L68">
        <v>62.4</v>
      </c>
      <c r="M68">
        <v>0.65</v>
      </c>
      <c r="N68">
        <v>0.39</v>
      </c>
      <c r="O68">
        <v>10.1</v>
      </c>
      <c r="P68">
        <v>0.39</v>
      </c>
      <c r="Q68">
        <v>0.2</v>
      </c>
    </row>
    <row r="69" spans="1:17">
      <c r="C69">
        <v>317.51440000000002</v>
      </c>
      <c r="D69">
        <v>0.68038799999999999</v>
      </c>
      <c r="E69">
        <v>5.9</v>
      </c>
      <c r="F69">
        <v>4.3136599200000001</v>
      </c>
      <c r="G69">
        <v>1.0886207999999999</v>
      </c>
      <c r="H69">
        <v>0.65317247999999994</v>
      </c>
      <c r="I69">
        <v>2.4493967999999998E-2</v>
      </c>
      <c r="J69">
        <v>1.3154168000000001E-2</v>
      </c>
      <c r="K69">
        <v>15.3</v>
      </c>
      <c r="L69">
        <v>62.2</v>
      </c>
      <c r="M69">
        <v>0.65</v>
      </c>
      <c r="N69">
        <v>0.38</v>
      </c>
      <c r="O69">
        <v>9.4</v>
      </c>
      <c r="P69">
        <v>0.35</v>
      </c>
      <c r="Q69">
        <v>0.19</v>
      </c>
    </row>
    <row r="70" spans="1:17">
      <c r="C70">
        <v>362.87360000000001</v>
      </c>
      <c r="D70">
        <v>0.68038799999999999</v>
      </c>
      <c r="E70">
        <v>6.5</v>
      </c>
      <c r="F70">
        <v>4.7627160000000002</v>
      </c>
      <c r="G70">
        <v>1.1793392</v>
      </c>
      <c r="H70">
        <v>0.68038799999999999</v>
      </c>
      <c r="I70">
        <v>2.4493967999999998E-2</v>
      </c>
      <c r="J70">
        <v>1.360776E-2</v>
      </c>
      <c r="K70">
        <v>16.899999999999999</v>
      </c>
      <c r="L70">
        <v>62.2</v>
      </c>
      <c r="M70">
        <v>0.65</v>
      </c>
      <c r="N70">
        <v>0.38</v>
      </c>
      <c r="O70">
        <v>8.9</v>
      </c>
      <c r="P70">
        <v>0.32</v>
      </c>
      <c r="Q70">
        <v>0.18</v>
      </c>
    </row>
    <row r="71" spans="1:17">
      <c r="C71">
        <v>181.43680000000001</v>
      </c>
      <c r="D71">
        <v>0.90718399999999999</v>
      </c>
      <c r="E71">
        <v>3.9</v>
      </c>
      <c r="F71">
        <v>3.0889615199999998</v>
      </c>
      <c r="G71">
        <v>0.99790240000000008</v>
      </c>
      <c r="H71">
        <v>0.66224432</v>
      </c>
      <c r="I71">
        <v>2.9483479999999999E-2</v>
      </c>
      <c r="J71">
        <v>1.4061351999999999E-2</v>
      </c>
      <c r="K71">
        <v>10.1</v>
      </c>
      <c r="L71">
        <v>67.5</v>
      </c>
      <c r="M71">
        <v>0.73</v>
      </c>
      <c r="N71">
        <v>0.45</v>
      </c>
      <c r="O71">
        <v>14.5</v>
      </c>
      <c r="P71">
        <v>0.65</v>
      </c>
      <c r="Q71">
        <v>0.3</v>
      </c>
    </row>
    <row r="72" spans="1:17">
      <c r="C72">
        <v>226.79599999999999</v>
      </c>
      <c r="D72">
        <v>0.90718399999999999</v>
      </c>
      <c r="E72">
        <v>4.5999999999999996</v>
      </c>
      <c r="F72">
        <v>3.6468796799999996</v>
      </c>
      <c r="G72">
        <v>1.13398</v>
      </c>
      <c r="H72">
        <v>0.68492392000000002</v>
      </c>
      <c r="I72">
        <v>2.9029888E-2</v>
      </c>
      <c r="J72">
        <v>1.4061351999999999E-2</v>
      </c>
      <c r="K72">
        <v>11.9</v>
      </c>
      <c r="L72">
        <v>67.400000000000006</v>
      </c>
      <c r="M72">
        <v>0.73</v>
      </c>
      <c r="N72">
        <v>0.45</v>
      </c>
      <c r="O72">
        <v>12.7</v>
      </c>
      <c r="P72">
        <v>0.54</v>
      </c>
      <c r="Q72">
        <v>0.26</v>
      </c>
    </row>
    <row r="73" spans="1:17">
      <c r="C73">
        <v>272.15519999999998</v>
      </c>
      <c r="D73">
        <v>0.90718399999999999</v>
      </c>
      <c r="E73">
        <v>5.3</v>
      </c>
      <c r="F73">
        <v>4.1866541599999998</v>
      </c>
      <c r="G73">
        <v>1.3154167999999999</v>
      </c>
      <c r="H73">
        <v>0.70760352000000004</v>
      </c>
      <c r="I73">
        <v>2.9029888E-2</v>
      </c>
      <c r="J73">
        <v>1.4514944E-2</v>
      </c>
      <c r="K73">
        <v>13.7</v>
      </c>
      <c r="L73">
        <v>67.5</v>
      </c>
      <c r="M73">
        <v>0.73</v>
      </c>
      <c r="N73">
        <v>0.46</v>
      </c>
      <c r="O73">
        <v>11.4</v>
      </c>
      <c r="P73">
        <v>0.47</v>
      </c>
      <c r="Q73">
        <v>0.24</v>
      </c>
    </row>
    <row r="74" spans="1:17">
      <c r="C74">
        <v>317.51440000000002</v>
      </c>
      <c r="D74">
        <v>0.90718399999999999</v>
      </c>
      <c r="E74">
        <v>5.9</v>
      </c>
      <c r="F74">
        <v>4.6901412799999997</v>
      </c>
      <c r="G74">
        <v>1.4968535999999999</v>
      </c>
      <c r="H74">
        <v>0.72574720000000004</v>
      </c>
      <c r="I74">
        <v>2.9029888E-2</v>
      </c>
      <c r="J74">
        <v>1.4968536000000001E-2</v>
      </c>
      <c r="K74">
        <v>15.3</v>
      </c>
      <c r="L74">
        <v>67.400000000000006</v>
      </c>
      <c r="M74">
        <v>0.73</v>
      </c>
      <c r="N74">
        <v>0.45</v>
      </c>
      <c r="O74">
        <v>10.5</v>
      </c>
      <c r="P74">
        <v>0.42</v>
      </c>
      <c r="Q74">
        <v>0.22</v>
      </c>
    </row>
    <row r="75" spans="1:17">
      <c r="C75">
        <v>362.87360000000001</v>
      </c>
      <c r="D75">
        <v>0.90718399999999999</v>
      </c>
      <c r="E75">
        <v>6.5</v>
      </c>
      <c r="F75">
        <v>5.17548472</v>
      </c>
      <c r="G75">
        <v>1.6329312</v>
      </c>
      <c r="H75">
        <v>0.74842679999999995</v>
      </c>
      <c r="I75">
        <v>2.8576296000000001E-2</v>
      </c>
      <c r="J75">
        <v>1.5422128E-2</v>
      </c>
      <c r="K75">
        <v>17</v>
      </c>
      <c r="L75">
        <v>67.3</v>
      </c>
      <c r="M75">
        <v>0.73</v>
      </c>
      <c r="N75">
        <v>0.45</v>
      </c>
      <c r="O75">
        <v>9.6999999999999993</v>
      </c>
      <c r="P75">
        <v>0.37</v>
      </c>
      <c r="Q75">
        <v>0.2</v>
      </c>
    </row>
    <row r="76" spans="1:17">
      <c r="C76">
        <v>181.43680000000001</v>
      </c>
      <c r="D76">
        <v>1.13398</v>
      </c>
      <c r="E76">
        <v>3.9</v>
      </c>
      <c r="F76">
        <v>3.3157575199999996</v>
      </c>
      <c r="G76">
        <v>1.2246984000000001</v>
      </c>
      <c r="H76">
        <v>0.75296271999999997</v>
      </c>
      <c r="I76">
        <v>3.5380175999999999E-2</v>
      </c>
      <c r="J76">
        <v>1.6329311999999999E-2</v>
      </c>
      <c r="K76">
        <v>9.9</v>
      </c>
      <c r="L76">
        <v>73.5</v>
      </c>
      <c r="M76">
        <v>0.82</v>
      </c>
      <c r="N76">
        <v>0.53</v>
      </c>
      <c r="O76">
        <v>16.7</v>
      </c>
      <c r="P76">
        <v>0.78</v>
      </c>
      <c r="Q76">
        <v>0.36</v>
      </c>
    </row>
    <row r="77" spans="1:17">
      <c r="C77">
        <v>226.79599999999999</v>
      </c>
      <c r="D77">
        <v>1.13398</v>
      </c>
      <c r="E77">
        <v>4.5999999999999996</v>
      </c>
      <c r="F77">
        <v>3.9144989600000004</v>
      </c>
      <c r="G77">
        <v>1.4514944000000001</v>
      </c>
      <c r="H77">
        <v>0.77110639999999997</v>
      </c>
      <c r="I77">
        <v>3.4472992000000001E-2</v>
      </c>
      <c r="J77">
        <v>1.6329311999999999E-2</v>
      </c>
      <c r="K77">
        <v>11.8</v>
      </c>
      <c r="L77">
        <v>73.5</v>
      </c>
      <c r="M77">
        <v>0.82</v>
      </c>
      <c r="N77">
        <v>0.53</v>
      </c>
      <c r="O77">
        <v>14.5</v>
      </c>
      <c r="P77">
        <v>0.65</v>
      </c>
      <c r="Q77">
        <v>0.31</v>
      </c>
    </row>
    <row r="78" spans="1:17">
      <c r="C78">
        <v>272.15519999999998</v>
      </c>
      <c r="D78">
        <v>1.13398</v>
      </c>
      <c r="E78">
        <v>5.3</v>
      </c>
      <c r="F78">
        <v>4.4996326399999997</v>
      </c>
      <c r="G78">
        <v>1.6782904000000001</v>
      </c>
      <c r="H78">
        <v>0.78471415999999994</v>
      </c>
      <c r="I78">
        <v>3.4019399999999998E-2</v>
      </c>
      <c r="J78">
        <v>1.6782903999999998E-2</v>
      </c>
      <c r="K78">
        <v>13.5</v>
      </c>
      <c r="L78">
        <v>73.599999999999994</v>
      </c>
      <c r="M78">
        <v>0.82</v>
      </c>
      <c r="N78">
        <v>0.53</v>
      </c>
      <c r="O78">
        <v>12.9</v>
      </c>
      <c r="P78">
        <v>0.56000000000000005</v>
      </c>
      <c r="Q78">
        <v>0.27</v>
      </c>
    </row>
    <row r="79" spans="1:17">
      <c r="C79">
        <v>317.51440000000002</v>
      </c>
      <c r="D79">
        <v>1.13398</v>
      </c>
      <c r="E79">
        <v>5.9</v>
      </c>
      <c r="F79">
        <v>5.0394071199999999</v>
      </c>
      <c r="G79">
        <v>1.9050864000000001</v>
      </c>
      <c r="H79">
        <v>0.79832192000000002</v>
      </c>
      <c r="I79">
        <v>3.3565807999999996E-2</v>
      </c>
      <c r="J79">
        <v>1.6782903999999998E-2</v>
      </c>
      <c r="K79">
        <v>15.1</v>
      </c>
      <c r="L79">
        <v>73.400000000000006</v>
      </c>
      <c r="M79">
        <v>0.81</v>
      </c>
      <c r="N79">
        <v>0.53</v>
      </c>
      <c r="O79">
        <v>11.7</v>
      </c>
      <c r="P79">
        <v>0.49</v>
      </c>
      <c r="Q79">
        <v>0.25</v>
      </c>
    </row>
    <row r="80" spans="1:17">
      <c r="C80">
        <v>362.87360000000001</v>
      </c>
      <c r="D80">
        <v>1.13398</v>
      </c>
      <c r="E80">
        <v>6.5</v>
      </c>
      <c r="F80">
        <v>5.5655738399999999</v>
      </c>
      <c r="G80">
        <v>2.0865231999999998</v>
      </c>
      <c r="H80">
        <v>0.81646560000000001</v>
      </c>
      <c r="I80">
        <v>3.3112216E-2</v>
      </c>
      <c r="J80">
        <v>1.7236496E-2</v>
      </c>
      <c r="K80">
        <v>16.7</v>
      </c>
      <c r="L80">
        <v>73.3</v>
      </c>
      <c r="M80">
        <v>0.81</v>
      </c>
      <c r="N80">
        <v>0.53</v>
      </c>
      <c r="O80">
        <v>10.7</v>
      </c>
      <c r="P80">
        <v>0.43</v>
      </c>
      <c r="Q80">
        <v>0.23</v>
      </c>
    </row>
    <row r="81" spans="1:17">
      <c r="C81">
        <v>181.43680000000001</v>
      </c>
      <c r="D81">
        <v>1.360776</v>
      </c>
      <c r="E81">
        <v>3.9</v>
      </c>
      <c r="F81">
        <v>3.5244098399999997</v>
      </c>
      <c r="G81">
        <v>1.5422127999999999</v>
      </c>
      <c r="H81">
        <v>0.84821704000000009</v>
      </c>
      <c r="I81">
        <v>4.1276871999999999E-2</v>
      </c>
      <c r="J81">
        <v>1.8597272000000001E-2</v>
      </c>
      <c r="K81">
        <v>9.5</v>
      </c>
      <c r="L81">
        <v>81.5</v>
      </c>
      <c r="M81">
        <v>0.93</v>
      </c>
      <c r="N81">
        <v>0.63</v>
      </c>
      <c r="O81">
        <v>19.600000000000001</v>
      </c>
      <c r="P81">
        <v>0.95</v>
      </c>
      <c r="Q81">
        <v>0.43</v>
      </c>
    </row>
    <row r="82" spans="1:17">
      <c r="C82">
        <v>226.79599999999999</v>
      </c>
      <c r="D82">
        <v>1.360776</v>
      </c>
      <c r="E82">
        <v>4.5999999999999996</v>
      </c>
      <c r="F82">
        <v>4.1639745599999998</v>
      </c>
      <c r="G82">
        <v>1.814368</v>
      </c>
      <c r="H82">
        <v>0.85728887999999992</v>
      </c>
      <c r="I82">
        <v>3.9916095999999998E-2</v>
      </c>
      <c r="J82">
        <v>1.8597272000000001E-2</v>
      </c>
      <c r="K82">
        <v>11.3</v>
      </c>
      <c r="L82">
        <v>81.400000000000006</v>
      </c>
      <c r="M82">
        <v>0.93</v>
      </c>
      <c r="N82">
        <v>0.63</v>
      </c>
      <c r="O82">
        <v>16.7</v>
      </c>
      <c r="P82">
        <v>0.78</v>
      </c>
      <c r="Q82">
        <v>0.36</v>
      </c>
    </row>
    <row r="83" spans="1:17">
      <c r="C83">
        <v>272.15519999999998</v>
      </c>
      <c r="D83">
        <v>1.360776</v>
      </c>
      <c r="E83">
        <v>5.3</v>
      </c>
      <c r="F83">
        <v>4.7808596799999998</v>
      </c>
      <c r="G83">
        <v>2.0411640000000002</v>
      </c>
      <c r="H83">
        <v>0.86182479999999995</v>
      </c>
      <c r="I83">
        <v>3.9008912E-2</v>
      </c>
      <c r="J83">
        <v>1.8597272000000001E-2</v>
      </c>
      <c r="K83">
        <v>12.9</v>
      </c>
      <c r="L83">
        <v>81.599999999999994</v>
      </c>
      <c r="M83">
        <v>0.93</v>
      </c>
      <c r="N83">
        <v>0.63</v>
      </c>
      <c r="O83">
        <v>14.7</v>
      </c>
      <c r="P83">
        <v>0.66</v>
      </c>
      <c r="Q83">
        <v>0.32</v>
      </c>
    </row>
    <row r="84" spans="1:17">
      <c r="C84">
        <v>317.51440000000002</v>
      </c>
      <c r="D84">
        <v>1.360776</v>
      </c>
      <c r="E84">
        <v>5.9</v>
      </c>
      <c r="F84">
        <v>5.3569215200000002</v>
      </c>
      <c r="G84">
        <v>2.3133192</v>
      </c>
      <c r="H84">
        <v>0.87089664</v>
      </c>
      <c r="I84">
        <v>3.7648135999999999E-2</v>
      </c>
      <c r="J84">
        <v>1.8597272000000001E-2</v>
      </c>
      <c r="K84">
        <v>14.5</v>
      </c>
      <c r="L84">
        <v>81.2</v>
      </c>
      <c r="M84">
        <v>0.93</v>
      </c>
      <c r="N84">
        <v>0.63</v>
      </c>
      <c r="O84">
        <v>13.2</v>
      </c>
      <c r="P84">
        <v>0.56999999999999995</v>
      </c>
      <c r="Q84">
        <v>0.28000000000000003</v>
      </c>
    </row>
    <row r="85" spans="1:17">
      <c r="C85">
        <v>362.87360000000001</v>
      </c>
      <c r="D85">
        <v>1.360776</v>
      </c>
      <c r="E85">
        <v>6.5</v>
      </c>
      <c r="F85">
        <v>5.9148396799999992</v>
      </c>
      <c r="G85">
        <v>2.5401151999999998</v>
      </c>
      <c r="H85">
        <v>0.87996847999999994</v>
      </c>
      <c r="I85">
        <v>3.6740952E-2</v>
      </c>
      <c r="J85">
        <v>1.8597272000000001E-2</v>
      </c>
      <c r="K85">
        <v>16.100000000000001</v>
      </c>
      <c r="L85">
        <v>81.099999999999994</v>
      </c>
      <c r="M85">
        <v>0.92</v>
      </c>
      <c r="N85">
        <v>0.62</v>
      </c>
      <c r="O85">
        <v>12.1</v>
      </c>
      <c r="P85">
        <v>0.51</v>
      </c>
      <c r="Q85">
        <v>0.26</v>
      </c>
    </row>
    <row r="86" spans="1:17">
      <c r="C86">
        <v>0</v>
      </c>
      <c r="D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7">
      <c r="C87">
        <v>0</v>
      </c>
      <c r="D87">
        <v>0</v>
      </c>
      <c r="F87" t="e">
        <v>#VALUE!</v>
      </c>
      <c r="G87">
        <v>0</v>
      </c>
      <c r="H87">
        <v>0</v>
      </c>
      <c r="I87">
        <v>0</v>
      </c>
      <c r="J87">
        <v>0</v>
      </c>
      <c r="K87" t="s">
        <v>21</v>
      </c>
    </row>
    <row r="88" spans="1:17">
      <c r="A88" t="s">
        <v>41</v>
      </c>
      <c r="C88" t="s">
        <v>121</v>
      </c>
      <c r="D88" t="s">
        <v>124</v>
      </c>
      <c r="E88" t="s">
        <v>23</v>
      </c>
      <c r="F88" t="s">
        <v>116</v>
      </c>
      <c r="G88" t="s">
        <v>117</v>
      </c>
      <c r="H88" t="s">
        <v>118</v>
      </c>
      <c r="I88" t="s">
        <v>119</v>
      </c>
      <c r="J88" t="s">
        <v>120</v>
      </c>
      <c r="K88" t="s">
        <v>15</v>
      </c>
      <c r="L88" t="s">
        <v>16</v>
      </c>
      <c r="M88" t="s">
        <v>17</v>
      </c>
      <c r="N88" t="s">
        <v>24</v>
      </c>
      <c r="O88" t="s">
        <v>18</v>
      </c>
      <c r="P88" t="s">
        <v>19</v>
      </c>
      <c r="Q88" t="s">
        <v>20</v>
      </c>
    </row>
    <row r="89" spans="1:17">
      <c r="B89">
        <v>544.31039999999996</v>
      </c>
      <c r="C89">
        <v>272.15519999999998</v>
      </c>
      <c r="D89">
        <v>0.453592</v>
      </c>
      <c r="E89">
        <v>5.3</v>
      </c>
      <c r="F89">
        <v>3.8056368800000002</v>
      </c>
      <c r="G89">
        <v>0.63502879999999995</v>
      </c>
      <c r="H89">
        <v>0.57152592000000002</v>
      </c>
      <c r="I89">
        <v>1.9050864000000001E-2</v>
      </c>
      <c r="J89">
        <v>1.0432616E-2</v>
      </c>
      <c r="K89">
        <v>15.8</v>
      </c>
      <c r="L89">
        <v>53.1</v>
      </c>
      <c r="M89">
        <v>0.51</v>
      </c>
      <c r="N89">
        <v>0.25</v>
      </c>
      <c r="O89">
        <v>8</v>
      </c>
      <c r="P89">
        <v>0.26</v>
      </c>
      <c r="Q89">
        <v>0.15</v>
      </c>
    </row>
    <row r="90" spans="1:17">
      <c r="C90">
        <v>317.51440000000002</v>
      </c>
      <c r="D90">
        <v>0.453592</v>
      </c>
      <c r="E90">
        <v>5.9</v>
      </c>
      <c r="F90">
        <v>4.2592288800000002</v>
      </c>
      <c r="G90">
        <v>0.68038799999999999</v>
      </c>
      <c r="H90">
        <v>0.60327735999999998</v>
      </c>
      <c r="I90">
        <v>1.9504456E-2</v>
      </c>
      <c r="J90">
        <v>1.1339800000000001E-2</v>
      </c>
      <c r="K90">
        <v>17.7</v>
      </c>
      <c r="L90">
        <v>53</v>
      </c>
      <c r="M90">
        <v>0.51</v>
      </c>
      <c r="N90">
        <v>0.25</v>
      </c>
      <c r="O90">
        <v>7.5</v>
      </c>
      <c r="P90">
        <v>0.24</v>
      </c>
      <c r="Q90">
        <v>0.14000000000000001</v>
      </c>
    </row>
    <row r="91" spans="1:17">
      <c r="C91">
        <v>362.87360000000001</v>
      </c>
      <c r="D91">
        <v>0.453592</v>
      </c>
      <c r="E91">
        <v>6.5</v>
      </c>
      <c r="F91">
        <v>4.6992131199999996</v>
      </c>
      <c r="G91">
        <v>0.77110639999999997</v>
      </c>
      <c r="H91">
        <v>0.63502879999999995</v>
      </c>
      <c r="I91">
        <v>2.0411639999999998E-2</v>
      </c>
      <c r="J91">
        <v>1.2246983999999999E-2</v>
      </c>
      <c r="K91">
        <v>19.600000000000001</v>
      </c>
      <c r="L91">
        <v>53</v>
      </c>
      <c r="M91">
        <v>0.51</v>
      </c>
      <c r="N91">
        <v>0.25</v>
      </c>
      <c r="O91">
        <v>7.2</v>
      </c>
      <c r="P91">
        <v>0.23</v>
      </c>
      <c r="Q91">
        <v>0.14000000000000001</v>
      </c>
    </row>
    <row r="92" spans="1:17">
      <c r="C92">
        <v>408.2328</v>
      </c>
      <c r="D92">
        <v>0.453592</v>
      </c>
      <c r="E92">
        <v>7.1</v>
      </c>
      <c r="F92">
        <v>5.13012552</v>
      </c>
      <c r="G92">
        <v>0.81646560000000001</v>
      </c>
      <c r="H92">
        <v>0.66678024000000002</v>
      </c>
      <c r="I92">
        <v>2.0865232000000001E-2</v>
      </c>
      <c r="J92">
        <v>1.2700576E-2</v>
      </c>
      <c r="K92">
        <v>21.4</v>
      </c>
      <c r="L92">
        <v>52.9</v>
      </c>
      <c r="M92">
        <v>0.51</v>
      </c>
      <c r="N92">
        <v>0.25</v>
      </c>
      <c r="O92">
        <v>6.9</v>
      </c>
      <c r="P92">
        <v>0.22</v>
      </c>
      <c r="Q92">
        <v>0.13</v>
      </c>
    </row>
    <row r="93" spans="1:17">
      <c r="C93">
        <v>453.59199999999998</v>
      </c>
      <c r="D93">
        <v>0.453592</v>
      </c>
      <c r="E93">
        <v>7.7</v>
      </c>
      <c r="F93">
        <v>5.5565020000000001</v>
      </c>
      <c r="G93">
        <v>0.90718399999999999</v>
      </c>
      <c r="H93">
        <v>0.69399575999999996</v>
      </c>
      <c r="I93">
        <v>2.1772415999999999E-2</v>
      </c>
      <c r="J93">
        <v>1.360776E-2</v>
      </c>
      <c r="K93">
        <v>23.1</v>
      </c>
      <c r="L93">
        <v>52.9</v>
      </c>
      <c r="M93">
        <v>0.51</v>
      </c>
      <c r="N93">
        <v>0.25</v>
      </c>
      <c r="O93">
        <v>6.6</v>
      </c>
      <c r="P93">
        <v>0.21</v>
      </c>
      <c r="Q93">
        <v>0.13</v>
      </c>
    </row>
    <row r="94" spans="1:17">
      <c r="C94">
        <v>498.95119999999997</v>
      </c>
      <c r="D94">
        <v>0.453592</v>
      </c>
      <c r="E94">
        <v>8.3000000000000007</v>
      </c>
      <c r="F94">
        <v>5.9783425599999998</v>
      </c>
      <c r="G94">
        <v>0.95254320000000003</v>
      </c>
      <c r="H94">
        <v>0.72121128000000001</v>
      </c>
      <c r="I94">
        <v>2.2226008000000002E-2</v>
      </c>
      <c r="J94">
        <v>1.4514944E-2</v>
      </c>
      <c r="K94">
        <v>24.9</v>
      </c>
      <c r="L94">
        <v>53</v>
      </c>
      <c r="M94">
        <v>0.51</v>
      </c>
      <c r="N94">
        <v>0.25</v>
      </c>
      <c r="O94">
        <v>6.4</v>
      </c>
      <c r="P94">
        <v>0.2</v>
      </c>
      <c r="Q94">
        <v>0.13</v>
      </c>
    </row>
    <row r="95" spans="1:17">
      <c r="C95">
        <v>272.15519999999998</v>
      </c>
      <c r="D95">
        <v>0.68038799999999999</v>
      </c>
      <c r="E95">
        <v>5.3</v>
      </c>
      <c r="F95">
        <v>4.1639745599999998</v>
      </c>
      <c r="G95">
        <v>0.95254320000000003</v>
      </c>
      <c r="H95">
        <v>0.66678024000000002</v>
      </c>
      <c r="I95">
        <v>2.4040375999999999E-2</v>
      </c>
      <c r="J95">
        <v>1.2700576E-2</v>
      </c>
      <c r="K95">
        <v>16.100000000000001</v>
      </c>
      <c r="L95">
        <v>57.1</v>
      </c>
      <c r="M95">
        <v>0.56999999999999995</v>
      </c>
      <c r="N95">
        <v>0.31</v>
      </c>
      <c r="O95">
        <v>9.1999999999999993</v>
      </c>
      <c r="P95">
        <v>0.33</v>
      </c>
      <c r="Q95">
        <v>0.17</v>
      </c>
    </row>
    <row r="96" spans="1:17">
      <c r="C96">
        <v>317.51440000000002</v>
      </c>
      <c r="D96">
        <v>0.68038799999999999</v>
      </c>
      <c r="E96">
        <v>5.9</v>
      </c>
      <c r="F96">
        <v>4.6629257599999994</v>
      </c>
      <c r="G96">
        <v>1.0886207999999999</v>
      </c>
      <c r="H96">
        <v>0.69399575999999996</v>
      </c>
      <c r="I96">
        <v>2.4493967999999998E-2</v>
      </c>
      <c r="J96">
        <v>1.3154168000000001E-2</v>
      </c>
      <c r="K96">
        <v>18</v>
      </c>
      <c r="L96">
        <v>57</v>
      </c>
      <c r="M96">
        <v>0.56999999999999995</v>
      </c>
      <c r="N96">
        <v>0.31</v>
      </c>
      <c r="O96">
        <v>8.5</v>
      </c>
      <c r="P96">
        <v>0.3</v>
      </c>
      <c r="Q96">
        <v>0.16</v>
      </c>
    </row>
    <row r="97" spans="3:17">
      <c r="C97">
        <v>362.87360000000001</v>
      </c>
      <c r="D97">
        <v>0.68038799999999999</v>
      </c>
      <c r="E97">
        <v>6.5</v>
      </c>
      <c r="F97">
        <v>5.1482691999999997</v>
      </c>
      <c r="G97">
        <v>1.1793392</v>
      </c>
      <c r="H97">
        <v>0.71667535999999998</v>
      </c>
      <c r="I97">
        <v>2.4493967999999998E-2</v>
      </c>
      <c r="J97">
        <v>1.360776E-2</v>
      </c>
      <c r="K97">
        <v>19.899999999999999</v>
      </c>
      <c r="L97">
        <v>56.9</v>
      </c>
      <c r="M97">
        <v>0.56999999999999995</v>
      </c>
      <c r="N97">
        <v>0.31</v>
      </c>
      <c r="O97">
        <v>7.9</v>
      </c>
      <c r="P97">
        <v>0.27</v>
      </c>
      <c r="Q97">
        <v>0.15</v>
      </c>
    </row>
    <row r="98" spans="3:17">
      <c r="C98">
        <v>408.2328</v>
      </c>
      <c r="D98">
        <v>0.68038799999999999</v>
      </c>
      <c r="E98">
        <v>7.1</v>
      </c>
      <c r="F98">
        <v>5.6245408000000001</v>
      </c>
      <c r="G98">
        <v>1.3154167999999999</v>
      </c>
      <c r="H98">
        <v>0.73935495999999989</v>
      </c>
      <c r="I98">
        <v>2.4947560000000001E-2</v>
      </c>
      <c r="J98">
        <v>1.4514944E-2</v>
      </c>
      <c r="K98">
        <v>21.8</v>
      </c>
      <c r="L98">
        <v>56.9</v>
      </c>
      <c r="M98">
        <v>0.56999999999999995</v>
      </c>
      <c r="N98">
        <v>0.31</v>
      </c>
      <c r="O98">
        <v>7.5</v>
      </c>
      <c r="P98">
        <v>0.25</v>
      </c>
      <c r="Q98">
        <v>0.15</v>
      </c>
    </row>
    <row r="99" spans="3:17">
      <c r="C99">
        <v>453.59199999999998</v>
      </c>
      <c r="D99">
        <v>0.68038799999999999</v>
      </c>
      <c r="E99">
        <v>7.7</v>
      </c>
      <c r="F99">
        <v>6.0917405599999999</v>
      </c>
      <c r="G99">
        <v>1.4061352</v>
      </c>
      <c r="H99">
        <v>0.76203455999999992</v>
      </c>
      <c r="I99">
        <v>2.5401152E-2</v>
      </c>
      <c r="J99">
        <v>1.4968536000000001E-2</v>
      </c>
      <c r="K99">
        <v>23.6</v>
      </c>
      <c r="L99">
        <v>56.9</v>
      </c>
      <c r="M99">
        <v>0.56999999999999995</v>
      </c>
      <c r="N99">
        <v>0.31</v>
      </c>
      <c r="O99">
        <v>7.1</v>
      </c>
      <c r="P99">
        <v>0.24</v>
      </c>
      <c r="Q99">
        <v>0.14000000000000001</v>
      </c>
    </row>
    <row r="100" spans="3:17">
      <c r="C100">
        <v>498.95119999999997</v>
      </c>
      <c r="D100">
        <v>0.68038799999999999</v>
      </c>
      <c r="E100">
        <v>8.3000000000000007</v>
      </c>
      <c r="F100">
        <v>6.5544043999999992</v>
      </c>
      <c r="G100">
        <v>1.5422127999999999</v>
      </c>
      <c r="H100">
        <v>0.78471415999999994</v>
      </c>
      <c r="I100">
        <v>2.5854743999999999E-2</v>
      </c>
      <c r="J100">
        <v>1.5875720000000003E-2</v>
      </c>
      <c r="K100">
        <v>25.3</v>
      </c>
      <c r="L100">
        <v>57</v>
      </c>
      <c r="M100">
        <v>0.56999999999999995</v>
      </c>
      <c r="N100">
        <v>0.31</v>
      </c>
      <c r="O100">
        <v>6.8</v>
      </c>
      <c r="P100">
        <v>0.22</v>
      </c>
      <c r="Q100">
        <v>0.14000000000000001</v>
      </c>
    </row>
    <row r="101" spans="3:17">
      <c r="C101">
        <v>272.15519999999998</v>
      </c>
      <c r="D101">
        <v>0.90718399999999999</v>
      </c>
      <c r="E101">
        <v>5.3</v>
      </c>
      <c r="F101">
        <v>4.4950967200000003</v>
      </c>
      <c r="G101">
        <v>1.3154167999999999</v>
      </c>
      <c r="H101">
        <v>0.76203455999999992</v>
      </c>
      <c r="I101">
        <v>2.9029888E-2</v>
      </c>
      <c r="J101">
        <v>1.4514944E-2</v>
      </c>
      <c r="K101">
        <v>16.100000000000001</v>
      </c>
      <c r="L101">
        <v>61.4</v>
      </c>
      <c r="M101">
        <v>0.64</v>
      </c>
      <c r="N101">
        <v>0.37</v>
      </c>
      <c r="O101">
        <v>10.4</v>
      </c>
      <c r="P101">
        <v>0.4</v>
      </c>
      <c r="Q101">
        <v>0.2</v>
      </c>
    </row>
    <row r="102" spans="3:17">
      <c r="C102">
        <v>317.51440000000002</v>
      </c>
      <c r="D102">
        <v>0.90718399999999999</v>
      </c>
      <c r="E102">
        <v>5.9</v>
      </c>
      <c r="F102">
        <v>5.0348711999999995</v>
      </c>
      <c r="G102">
        <v>1.4968535999999999</v>
      </c>
      <c r="H102">
        <v>0.78017824000000002</v>
      </c>
      <c r="I102">
        <v>2.9029888E-2</v>
      </c>
      <c r="J102">
        <v>1.4968536000000001E-2</v>
      </c>
      <c r="K102">
        <v>18.100000000000001</v>
      </c>
      <c r="L102">
        <v>61.3</v>
      </c>
      <c r="M102">
        <v>0.64</v>
      </c>
      <c r="N102">
        <v>0.37</v>
      </c>
      <c r="O102">
        <v>9.5</v>
      </c>
      <c r="P102">
        <v>0.35</v>
      </c>
      <c r="Q102">
        <v>0.18</v>
      </c>
    </row>
    <row r="103" spans="3:17">
      <c r="C103">
        <v>362.87360000000001</v>
      </c>
      <c r="D103">
        <v>0.90718399999999999</v>
      </c>
      <c r="E103">
        <v>6.5</v>
      </c>
      <c r="F103">
        <v>5.5565020000000001</v>
      </c>
      <c r="G103">
        <v>1.6329312</v>
      </c>
      <c r="H103">
        <v>0.79378599999999999</v>
      </c>
      <c r="I103">
        <v>2.8576296000000001E-2</v>
      </c>
      <c r="J103">
        <v>1.5422128E-2</v>
      </c>
      <c r="K103">
        <v>20</v>
      </c>
      <c r="L103">
        <v>61.2</v>
      </c>
      <c r="M103">
        <v>0.63</v>
      </c>
      <c r="N103">
        <v>0.37</v>
      </c>
      <c r="O103">
        <v>8.8000000000000007</v>
      </c>
      <c r="P103">
        <v>0.32</v>
      </c>
      <c r="Q103">
        <v>0.17</v>
      </c>
    </row>
    <row r="104" spans="3:17">
      <c r="C104">
        <v>408.2328</v>
      </c>
      <c r="D104">
        <v>0.90718399999999999</v>
      </c>
      <c r="E104">
        <v>7.1</v>
      </c>
      <c r="F104">
        <v>6.0735968800000002</v>
      </c>
      <c r="G104">
        <v>1.814368</v>
      </c>
      <c r="H104">
        <v>0.81192967999999999</v>
      </c>
      <c r="I104">
        <v>2.8576296000000001E-2</v>
      </c>
      <c r="J104">
        <v>1.5875720000000003E-2</v>
      </c>
      <c r="K104">
        <v>21.9</v>
      </c>
      <c r="L104">
        <v>61.2</v>
      </c>
      <c r="M104">
        <v>0.63</v>
      </c>
      <c r="N104">
        <v>0.37</v>
      </c>
      <c r="O104">
        <v>8.1999999999999993</v>
      </c>
      <c r="P104">
        <v>0.28999999999999998</v>
      </c>
      <c r="Q104">
        <v>0.16</v>
      </c>
    </row>
    <row r="105" spans="3:17">
      <c r="C105">
        <v>453.59199999999998</v>
      </c>
      <c r="D105">
        <v>0.90718399999999999</v>
      </c>
      <c r="E105">
        <v>7.7</v>
      </c>
      <c r="F105">
        <v>6.5770840000000002</v>
      </c>
      <c r="G105">
        <v>1.9504455999999999</v>
      </c>
      <c r="H105">
        <v>0.82553744000000007</v>
      </c>
      <c r="I105">
        <v>2.8576296000000001E-2</v>
      </c>
      <c r="J105">
        <v>1.6329311999999999E-2</v>
      </c>
      <c r="K105">
        <v>23.7</v>
      </c>
      <c r="L105">
        <v>61.2</v>
      </c>
      <c r="M105">
        <v>0.63</v>
      </c>
      <c r="N105">
        <v>0.37</v>
      </c>
      <c r="O105">
        <v>7.7</v>
      </c>
      <c r="P105">
        <v>0.27</v>
      </c>
      <c r="Q105">
        <v>0.15</v>
      </c>
    </row>
    <row r="106" spans="3:17">
      <c r="C106">
        <v>498.95119999999997</v>
      </c>
      <c r="D106">
        <v>0.90718399999999999</v>
      </c>
      <c r="E106">
        <v>8.3000000000000007</v>
      </c>
      <c r="F106">
        <v>7.0714992800000003</v>
      </c>
      <c r="G106">
        <v>2.0865231999999998</v>
      </c>
      <c r="H106">
        <v>0.84368112000000006</v>
      </c>
      <c r="I106">
        <v>2.8576296000000001E-2</v>
      </c>
      <c r="J106">
        <v>1.6782903999999998E-2</v>
      </c>
      <c r="K106">
        <v>25.4</v>
      </c>
      <c r="L106">
        <v>61.3</v>
      </c>
      <c r="M106">
        <v>0.64</v>
      </c>
      <c r="N106">
        <v>0.37</v>
      </c>
      <c r="O106">
        <v>7.3</v>
      </c>
      <c r="P106">
        <v>0.25</v>
      </c>
      <c r="Q106">
        <v>0.15</v>
      </c>
    </row>
    <row r="107" spans="3:17">
      <c r="C107">
        <v>272.15519999999998</v>
      </c>
      <c r="D107">
        <v>1.13398</v>
      </c>
      <c r="E107">
        <v>5.3</v>
      </c>
      <c r="F107">
        <v>4.7990033600000004</v>
      </c>
      <c r="G107">
        <v>1.6782904000000001</v>
      </c>
      <c r="H107">
        <v>0.85275295999999989</v>
      </c>
      <c r="I107">
        <v>3.4019399999999998E-2</v>
      </c>
      <c r="J107">
        <v>1.6782903999999998E-2</v>
      </c>
      <c r="K107">
        <v>16</v>
      </c>
      <c r="L107">
        <v>66.2</v>
      </c>
      <c r="M107">
        <v>0.71</v>
      </c>
      <c r="N107">
        <v>0.44</v>
      </c>
      <c r="O107">
        <v>11.8</v>
      </c>
      <c r="P107">
        <v>0.47</v>
      </c>
      <c r="Q107">
        <v>0.23</v>
      </c>
    </row>
    <row r="108" spans="3:17">
      <c r="C108">
        <v>317.51440000000002</v>
      </c>
      <c r="D108">
        <v>1.13398</v>
      </c>
      <c r="E108">
        <v>5.9</v>
      </c>
      <c r="F108">
        <v>5.3796011199999993</v>
      </c>
      <c r="G108">
        <v>1.9050864000000001</v>
      </c>
      <c r="H108">
        <v>0.86182479999999995</v>
      </c>
      <c r="I108">
        <v>3.3565807999999996E-2</v>
      </c>
      <c r="J108">
        <v>1.6782903999999998E-2</v>
      </c>
      <c r="K108">
        <v>18</v>
      </c>
      <c r="L108">
        <v>66</v>
      </c>
      <c r="M108">
        <v>0.71</v>
      </c>
      <c r="N108">
        <v>0.44</v>
      </c>
      <c r="O108">
        <v>10.6</v>
      </c>
      <c r="P108">
        <v>0.41</v>
      </c>
      <c r="Q108">
        <v>0.21</v>
      </c>
    </row>
    <row r="109" spans="3:17">
      <c r="C109">
        <v>362.87360000000001</v>
      </c>
      <c r="D109">
        <v>1.13398</v>
      </c>
      <c r="E109">
        <v>6.5</v>
      </c>
      <c r="F109">
        <v>5.9375192800000001</v>
      </c>
      <c r="G109">
        <v>2.0865231999999998</v>
      </c>
      <c r="H109">
        <v>0.87089664</v>
      </c>
      <c r="I109">
        <v>3.3112216E-2</v>
      </c>
      <c r="J109">
        <v>1.7236496E-2</v>
      </c>
      <c r="K109">
        <v>19.8</v>
      </c>
      <c r="L109">
        <v>66</v>
      </c>
      <c r="M109">
        <v>0.71</v>
      </c>
      <c r="N109">
        <v>0.43</v>
      </c>
      <c r="O109">
        <v>9.6999999999999993</v>
      </c>
      <c r="P109">
        <v>0.37</v>
      </c>
      <c r="Q109">
        <v>0.19</v>
      </c>
    </row>
    <row r="110" spans="3:17">
      <c r="C110">
        <v>408.2328</v>
      </c>
      <c r="D110">
        <v>1.13398</v>
      </c>
      <c r="E110">
        <v>7.1</v>
      </c>
      <c r="F110">
        <v>6.4863656000000001</v>
      </c>
      <c r="G110">
        <v>2.26796</v>
      </c>
      <c r="H110">
        <v>0.87996847999999994</v>
      </c>
      <c r="I110">
        <v>3.2658623999999997E-2</v>
      </c>
      <c r="J110">
        <v>1.7236496E-2</v>
      </c>
      <c r="K110">
        <v>21.7</v>
      </c>
      <c r="L110">
        <v>65.900000000000006</v>
      </c>
      <c r="M110">
        <v>0.71</v>
      </c>
      <c r="N110">
        <v>0.43</v>
      </c>
      <c r="O110">
        <v>9</v>
      </c>
      <c r="P110">
        <v>0.33</v>
      </c>
      <c r="Q110">
        <v>0.18</v>
      </c>
    </row>
    <row r="111" spans="3:17">
      <c r="C111">
        <v>453.59199999999998</v>
      </c>
      <c r="D111">
        <v>1.13398</v>
      </c>
      <c r="E111">
        <v>7.7</v>
      </c>
      <c r="F111">
        <v>7.0261400800000002</v>
      </c>
      <c r="G111">
        <v>2.4947559999999998</v>
      </c>
      <c r="H111">
        <v>0.88904032</v>
      </c>
      <c r="I111">
        <v>3.2205031999999995E-2</v>
      </c>
      <c r="J111">
        <v>1.7690088E-2</v>
      </c>
      <c r="K111">
        <v>23.5</v>
      </c>
      <c r="L111">
        <v>66</v>
      </c>
      <c r="M111">
        <v>0.71</v>
      </c>
      <c r="N111">
        <v>0.43</v>
      </c>
      <c r="O111">
        <v>8.4</v>
      </c>
      <c r="P111">
        <v>0.3</v>
      </c>
      <c r="Q111">
        <v>0.17</v>
      </c>
    </row>
    <row r="112" spans="3:17">
      <c r="C112">
        <v>498.95119999999997</v>
      </c>
      <c r="D112">
        <v>1.13398</v>
      </c>
      <c r="E112">
        <v>8.3000000000000007</v>
      </c>
      <c r="F112">
        <v>7.5477708799999998</v>
      </c>
      <c r="G112">
        <v>2.6761927999999999</v>
      </c>
      <c r="H112">
        <v>0.89811215999999994</v>
      </c>
      <c r="I112">
        <v>3.1751440000000006E-2</v>
      </c>
      <c r="J112">
        <v>1.8143679999999999E-2</v>
      </c>
      <c r="K112">
        <v>25.2</v>
      </c>
      <c r="L112">
        <v>66</v>
      </c>
      <c r="M112">
        <v>0.71</v>
      </c>
      <c r="N112">
        <v>0.44</v>
      </c>
      <c r="O112">
        <v>7.9</v>
      </c>
      <c r="P112">
        <v>0.28000000000000003</v>
      </c>
      <c r="Q112">
        <v>0.16</v>
      </c>
    </row>
    <row r="113" spans="1:17">
      <c r="C113">
        <v>272.15519999999998</v>
      </c>
      <c r="D113">
        <v>1.360776</v>
      </c>
      <c r="E113">
        <v>5.3</v>
      </c>
      <c r="F113">
        <v>5.08476632</v>
      </c>
      <c r="G113">
        <v>2.0411640000000002</v>
      </c>
      <c r="H113">
        <v>0.94347135999999998</v>
      </c>
      <c r="I113">
        <v>3.9008912E-2</v>
      </c>
      <c r="J113">
        <v>1.8597272000000001E-2</v>
      </c>
      <c r="K113">
        <v>15.6</v>
      </c>
      <c r="L113">
        <v>71.8</v>
      </c>
      <c r="M113">
        <v>0.79</v>
      </c>
      <c r="N113">
        <v>0.51</v>
      </c>
      <c r="O113">
        <v>13.3</v>
      </c>
      <c r="P113">
        <v>0.55000000000000004</v>
      </c>
      <c r="Q113">
        <v>0.26</v>
      </c>
    </row>
    <row r="114" spans="1:17">
      <c r="C114">
        <v>317.51440000000002</v>
      </c>
      <c r="D114">
        <v>1.360776</v>
      </c>
      <c r="E114">
        <v>5.9</v>
      </c>
      <c r="F114">
        <v>5.6971155200000005</v>
      </c>
      <c r="G114">
        <v>2.3133192</v>
      </c>
      <c r="H114">
        <v>0.9480072799999999</v>
      </c>
      <c r="I114">
        <v>3.7648135999999999E-2</v>
      </c>
      <c r="J114">
        <v>1.8597272000000001E-2</v>
      </c>
      <c r="K114">
        <v>17.600000000000001</v>
      </c>
      <c r="L114">
        <v>71.599999999999994</v>
      </c>
      <c r="M114">
        <v>0.79</v>
      </c>
      <c r="N114">
        <v>0.51</v>
      </c>
      <c r="O114">
        <v>11.9</v>
      </c>
      <c r="P114">
        <v>0.48</v>
      </c>
      <c r="Q114">
        <v>0.23</v>
      </c>
    </row>
    <row r="115" spans="1:17">
      <c r="C115">
        <v>362.87360000000001</v>
      </c>
      <c r="D115">
        <v>1.360776</v>
      </c>
      <c r="E115">
        <v>6.5</v>
      </c>
      <c r="F115">
        <v>6.2958569600000001</v>
      </c>
      <c r="G115">
        <v>2.5401151999999998</v>
      </c>
      <c r="H115">
        <v>0.9480072799999999</v>
      </c>
      <c r="I115">
        <v>3.6740952E-2</v>
      </c>
      <c r="J115">
        <v>1.8597272000000001E-2</v>
      </c>
      <c r="K115">
        <v>19.399999999999999</v>
      </c>
      <c r="L115">
        <v>71.5</v>
      </c>
      <c r="M115">
        <v>0.79</v>
      </c>
      <c r="N115">
        <v>0.51</v>
      </c>
      <c r="O115">
        <v>10.8</v>
      </c>
      <c r="P115">
        <v>0.42</v>
      </c>
      <c r="Q115">
        <v>0.21</v>
      </c>
    </row>
    <row r="116" spans="1:17">
      <c r="C116">
        <v>408.2328</v>
      </c>
      <c r="D116">
        <v>1.360776</v>
      </c>
      <c r="E116">
        <v>7.1</v>
      </c>
      <c r="F116">
        <v>6.8764547199999999</v>
      </c>
      <c r="G116">
        <v>2.8122704000000001</v>
      </c>
      <c r="H116">
        <v>0.9480072799999999</v>
      </c>
      <c r="I116">
        <v>3.6287359999999998E-2</v>
      </c>
      <c r="J116">
        <v>1.9050864000000001E-2</v>
      </c>
      <c r="K116">
        <v>21.2</v>
      </c>
      <c r="L116">
        <v>71.5</v>
      </c>
      <c r="M116">
        <v>0.79</v>
      </c>
      <c r="N116">
        <v>0.51</v>
      </c>
      <c r="O116">
        <v>9.9</v>
      </c>
      <c r="P116">
        <v>0.38</v>
      </c>
      <c r="Q116">
        <v>0.2</v>
      </c>
    </row>
    <row r="117" spans="1:17">
      <c r="C117">
        <v>453.59199999999998</v>
      </c>
      <c r="D117">
        <v>1.360776</v>
      </c>
      <c r="E117">
        <v>7.7</v>
      </c>
      <c r="F117">
        <v>7.4434447199999996</v>
      </c>
      <c r="G117">
        <v>3.0390663999999998</v>
      </c>
      <c r="H117">
        <v>0.95254320000000003</v>
      </c>
      <c r="I117">
        <v>3.5380175999999999E-2</v>
      </c>
      <c r="J117">
        <v>1.9050864000000001E-2</v>
      </c>
      <c r="K117">
        <v>22.9</v>
      </c>
      <c r="L117">
        <v>71.599999999999994</v>
      </c>
      <c r="M117">
        <v>0.79</v>
      </c>
      <c r="N117">
        <v>0.51</v>
      </c>
      <c r="O117">
        <v>9.1</v>
      </c>
      <c r="P117">
        <v>0.34</v>
      </c>
      <c r="Q117">
        <v>0.18</v>
      </c>
    </row>
    <row r="118" spans="1:17">
      <c r="C118">
        <v>498.95119999999997</v>
      </c>
      <c r="D118">
        <v>1.360776</v>
      </c>
      <c r="E118">
        <v>8.3000000000000007</v>
      </c>
      <c r="F118">
        <v>8.0013628800000003</v>
      </c>
      <c r="G118">
        <v>3.2658624000000001</v>
      </c>
      <c r="H118">
        <v>0.95254320000000003</v>
      </c>
      <c r="I118">
        <v>3.4472992000000001E-2</v>
      </c>
      <c r="J118">
        <v>1.9504456E-2</v>
      </c>
      <c r="K118">
        <v>24.6</v>
      </c>
      <c r="L118">
        <v>71.599999999999994</v>
      </c>
      <c r="M118">
        <v>0.79</v>
      </c>
      <c r="N118">
        <v>0.51</v>
      </c>
      <c r="O118">
        <v>8.5</v>
      </c>
      <c r="P118">
        <v>0.31</v>
      </c>
      <c r="Q118">
        <v>0.17</v>
      </c>
    </row>
    <row r="119" spans="1:17">
      <c r="C119">
        <v>272.15519999999998</v>
      </c>
      <c r="D119">
        <v>1.4968535999999999</v>
      </c>
      <c r="E119">
        <v>5.3</v>
      </c>
      <c r="F119">
        <v>5.2525953599999999</v>
      </c>
      <c r="G119">
        <v>2.3133192</v>
      </c>
      <c r="H119">
        <v>0.99790240000000008</v>
      </c>
      <c r="I119">
        <v>4.1730464000000002E-2</v>
      </c>
      <c r="J119">
        <v>1.9958047999999999E-2</v>
      </c>
      <c r="K119">
        <v>15.3</v>
      </c>
      <c r="L119">
        <v>75.8</v>
      </c>
      <c r="M119">
        <v>0.85</v>
      </c>
      <c r="N119">
        <v>0.56000000000000005</v>
      </c>
      <c r="O119">
        <v>14.4</v>
      </c>
      <c r="P119">
        <v>0.6</v>
      </c>
      <c r="Q119">
        <v>0.28000000000000003</v>
      </c>
    </row>
    <row r="120" spans="1:17">
      <c r="C120">
        <v>317.51440000000002</v>
      </c>
      <c r="D120">
        <v>1.4968535999999999</v>
      </c>
      <c r="E120">
        <v>5.9</v>
      </c>
      <c r="F120">
        <v>5.8785523200000007</v>
      </c>
      <c r="G120">
        <v>2.5854743999999998</v>
      </c>
      <c r="H120">
        <v>0.99336647999999994</v>
      </c>
      <c r="I120">
        <v>4.0369688000000001E-2</v>
      </c>
      <c r="J120">
        <v>1.9504456E-2</v>
      </c>
      <c r="K120">
        <v>17.2</v>
      </c>
      <c r="L120">
        <v>75.5</v>
      </c>
      <c r="M120">
        <v>0.84</v>
      </c>
      <c r="N120">
        <v>0.56000000000000005</v>
      </c>
      <c r="O120">
        <v>12.8</v>
      </c>
      <c r="P120">
        <v>0.52</v>
      </c>
      <c r="Q120">
        <v>0.25</v>
      </c>
    </row>
    <row r="121" spans="1:17">
      <c r="C121">
        <v>362.87360000000001</v>
      </c>
      <c r="D121">
        <v>1.4968535999999999</v>
      </c>
      <c r="E121">
        <v>6.5</v>
      </c>
      <c r="F121">
        <v>6.4954374399999999</v>
      </c>
      <c r="G121">
        <v>2.8576296000000001</v>
      </c>
      <c r="H121">
        <v>0.99336647999999994</v>
      </c>
      <c r="I121">
        <v>3.9462503999999995E-2</v>
      </c>
      <c r="J121">
        <v>1.9958047999999999E-2</v>
      </c>
      <c r="K121">
        <v>19</v>
      </c>
      <c r="L121">
        <v>75.400000000000006</v>
      </c>
      <c r="M121">
        <v>0.84</v>
      </c>
      <c r="N121">
        <v>0.56000000000000005</v>
      </c>
      <c r="O121">
        <v>11.5</v>
      </c>
      <c r="P121">
        <v>0.46</v>
      </c>
      <c r="Q121">
        <v>0.23</v>
      </c>
    </row>
    <row r="122" spans="1:17">
      <c r="C122">
        <v>408.2328</v>
      </c>
      <c r="D122">
        <v>1.4968535999999999</v>
      </c>
      <c r="E122">
        <v>7.1</v>
      </c>
      <c r="F122">
        <v>7.0987147999999998</v>
      </c>
      <c r="G122">
        <v>3.0844255999999999</v>
      </c>
      <c r="H122">
        <v>0.98883056000000003</v>
      </c>
      <c r="I122">
        <v>3.8101728000000001E-2</v>
      </c>
      <c r="J122">
        <v>1.9958047999999999E-2</v>
      </c>
      <c r="K122">
        <v>20.7</v>
      </c>
      <c r="L122">
        <v>75.400000000000006</v>
      </c>
      <c r="M122">
        <v>0.84</v>
      </c>
      <c r="N122">
        <v>0.56000000000000005</v>
      </c>
      <c r="O122">
        <v>10.5</v>
      </c>
      <c r="P122">
        <v>0.41</v>
      </c>
      <c r="Q122">
        <v>0.21</v>
      </c>
    </row>
    <row r="123" spans="1:17">
      <c r="C123">
        <v>453.59199999999998</v>
      </c>
      <c r="D123">
        <v>1.4968535999999999</v>
      </c>
      <c r="E123">
        <v>7.7</v>
      </c>
      <c r="F123">
        <v>7.6838484800000009</v>
      </c>
      <c r="G123">
        <v>3.3565808000000001</v>
      </c>
      <c r="H123">
        <v>0.98429464</v>
      </c>
      <c r="I123">
        <v>3.7194544000000003E-2</v>
      </c>
      <c r="J123">
        <v>1.9958047999999999E-2</v>
      </c>
      <c r="K123">
        <v>22.4</v>
      </c>
      <c r="L123">
        <v>75.5</v>
      </c>
      <c r="M123">
        <v>0.84</v>
      </c>
      <c r="N123">
        <v>0.56000000000000005</v>
      </c>
      <c r="O123">
        <v>9.6999999999999993</v>
      </c>
      <c r="P123">
        <v>0.37</v>
      </c>
      <c r="Q123">
        <v>0.2</v>
      </c>
    </row>
    <row r="124" spans="1:17">
      <c r="C124">
        <v>498.95119999999997</v>
      </c>
      <c r="D124">
        <v>1.4968535999999999</v>
      </c>
      <c r="E124">
        <v>8.3000000000000007</v>
      </c>
      <c r="F124">
        <v>8.2599103199999995</v>
      </c>
      <c r="G124">
        <v>3.628736</v>
      </c>
      <c r="H124">
        <v>0.98429464</v>
      </c>
      <c r="I124">
        <v>3.6287359999999998E-2</v>
      </c>
      <c r="J124">
        <v>1.9958047999999999E-2</v>
      </c>
      <c r="K124">
        <v>24.1</v>
      </c>
      <c r="L124">
        <v>75.599999999999994</v>
      </c>
      <c r="M124">
        <v>0.85</v>
      </c>
      <c r="N124">
        <v>0.56000000000000005</v>
      </c>
      <c r="O124">
        <v>9</v>
      </c>
      <c r="P124">
        <v>0.33</v>
      </c>
      <c r="Q124">
        <v>0.18</v>
      </c>
    </row>
    <row r="125" spans="1:17">
      <c r="C125">
        <v>0</v>
      </c>
      <c r="D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7">
      <c r="C126">
        <v>0</v>
      </c>
      <c r="D126">
        <v>0</v>
      </c>
      <c r="F126" t="e">
        <v>#VALUE!</v>
      </c>
      <c r="G126">
        <v>0</v>
      </c>
      <c r="H126">
        <v>0</v>
      </c>
      <c r="I126">
        <v>0</v>
      </c>
      <c r="J126">
        <v>0</v>
      </c>
      <c r="K126" t="s">
        <v>21</v>
      </c>
    </row>
    <row r="127" spans="1:17">
      <c r="A127" t="s">
        <v>42</v>
      </c>
      <c r="C127" t="s">
        <v>121</v>
      </c>
      <c r="D127" t="s">
        <v>124</v>
      </c>
      <c r="E127" t="s">
        <v>23</v>
      </c>
      <c r="F127" t="s">
        <v>116</v>
      </c>
      <c r="G127" t="s">
        <v>117</v>
      </c>
      <c r="H127" t="s">
        <v>118</v>
      </c>
      <c r="I127" t="s">
        <v>119</v>
      </c>
      <c r="J127" t="s">
        <v>120</v>
      </c>
      <c r="K127" t="s">
        <v>15</v>
      </c>
      <c r="L127" t="s">
        <v>16</v>
      </c>
      <c r="M127" t="s">
        <v>17</v>
      </c>
      <c r="N127" t="s">
        <v>24</v>
      </c>
      <c r="O127" t="s">
        <v>18</v>
      </c>
      <c r="P127" t="s">
        <v>19</v>
      </c>
      <c r="Q127" t="s">
        <v>20</v>
      </c>
    </row>
    <row r="128" spans="1:17">
      <c r="B128">
        <v>997.90239999999994</v>
      </c>
      <c r="C128">
        <v>226.79599999999999</v>
      </c>
      <c r="D128">
        <v>0.453592</v>
      </c>
      <c r="E128">
        <v>5.3</v>
      </c>
      <c r="F128">
        <v>3.05267416</v>
      </c>
      <c r="G128">
        <v>0.36287360000000002</v>
      </c>
      <c r="H128">
        <v>0.52163079999999995</v>
      </c>
      <c r="I128">
        <v>1.9958047999999999E-2</v>
      </c>
      <c r="J128">
        <v>1.0432616E-2</v>
      </c>
      <c r="K128">
        <v>11.3</v>
      </c>
      <c r="L128">
        <v>59.6</v>
      </c>
      <c r="M128">
        <v>0.59</v>
      </c>
      <c r="N128">
        <v>0.33</v>
      </c>
      <c r="O128">
        <v>10.199999999999999</v>
      </c>
      <c r="P128">
        <v>0.39</v>
      </c>
      <c r="Q128">
        <v>0.21</v>
      </c>
    </row>
    <row r="129" spans="3:17">
      <c r="C129">
        <v>272.15519999999998</v>
      </c>
      <c r="D129">
        <v>0.453592</v>
      </c>
      <c r="E129">
        <v>6.1</v>
      </c>
      <c r="F129">
        <v>3.50626616</v>
      </c>
      <c r="G129">
        <v>0.36287360000000002</v>
      </c>
      <c r="H129">
        <v>0.56245407999999997</v>
      </c>
      <c r="I129">
        <v>2.0865232000000001E-2</v>
      </c>
      <c r="J129">
        <v>1.1339800000000001E-2</v>
      </c>
      <c r="K129">
        <v>12.9</v>
      </c>
      <c r="L129">
        <v>59.7</v>
      </c>
      <c r="M129">
        <v>0.59</v>
      </c>
      <c r="N129">
        <v>0.33</v>
      </c>
      <c r="O129">
        <v>9.5</v>
      </c>
      <c r="P129">
        <v>0.36</v>
      </c>
      <c r="Q129">
        <v>0.19</v>
      </c>
    </row>
    <row r="130" spans="3:17">
      <c r="C130">
        <v>317.51440000000002</v>
      </c>
      <c r="D130">
        <v>0.453592</v>
      </c>
      <c r="E130">
        <v>6.8</v>
      </c>
      <c r="F130">
        <v>3.9235708000000002</v>
      </c>
      <c r="G130">
        <v>0.453592</v>
      </c>
      <c r="H130">
        <v>0.59874144000000007</v>
      </c>
      <c r="I130">
        <v>2.1772415999999999E-2</v>
      </c>
      <c r="J130">
        <v>1.2246983999999999E-2</v>
      </c>
      <c r="K130">
        <v>14.5</v>
      </c>
      <c r="L130">
        <v>59.6</v>
      </c>
      <c r="M130">
        <v>0.59</v>
      </c>
      <c r="N130">
        <v>0.33</v>
      </c>
      <c r="O130">
        <v>9.1</v>
      </c>
      <c r="P130">
        <v>0.33</v>
      </c>
      <c r="Q130">
        <v>0.19</v>
      </c>
    </row>
    <row r="131" spans="3:17">
      <c r="C131">
        <v>362.87360000000001</v>
      </c>
      <c r="D131">
        <v>0.453592</v>
      </c>
      <c r="E131">
        <v>7.5</v>
      </c>
      <c r="F131">
        <v>4.3318036000000006</v>
      </c>
      <c r="G131">
        <v>0.49895120000000004</v>
      </c>
      <c r="H131">
        <v>0.63502879999999995</v>
      </c>
      <c r="I131">
        <v>2.2679600000000001E-2</v>
      </c>
      <c r="J131">
        <v>1.3154168000000001E-2</v>
      </c>
      <c r="K131">
        <v>16</v>
      </c>
      <c r="L131">
        <v>59.5</v>
      </c>
      <c r="M131">
        <v>0.59</v>
      </c>
      <c r="N131">
        <v>0.33</v>
      </c>
      <c r="O131">
        <v>8.6999999999999993</v>
      </c>
      <c r="P131">
        <v>0.31</v>
      </c>
      <c r="Q131">
        <v>0.18</v>
      </c>
    </row>
    <row r="132" spans="3:17">
      <c r="C132">
        <v>408.2328</v>
      </c>
      <c r="D132">
        <v>0.453592</v>
      </c>
      <c r="E132">
        <v>8.1999999999999993</v>
      </c>
      <c r="F132">
        <v>4.7309645599999994</v>
      </c>
      <c r="G132">
        <v>0.54431039999999997</v>
      </c>
      <c r="H132">
        <v>0.67131615999999994</v>
      </c>
      <c r="I132">
        <v>2.3586784E-2</v>
      </c>
      <c r="J132">
        <v>1.4061351999999999E-2</v>
      </c>
      <c r="K132">
        <v>17.5</v>
      </c>
      <c r="L132">
        <v>59.5</v>
      </c>
      <c r="M132">
        <v>0.59</v>
      </c>
      <c r="N132">
        <v>0.33</v>
      </c>
      <c r="O132">
        <v>8.5</v>
      </c>
      <c r="P132">
        <v>0.3</v>
      </c>
      <c r="Q132">
        <v>0.18</v>
      </c>
    </row>
    <row r="133" spans="3:17">
      <c r="C133">
        <v>226.79599999999999</v>
      </c>
      <c r="D133">
        <v>0.68038799999999999</v>
      </c>
      <c r="E133">
        <v>5.3</v>
      </c>
      <c r="F133">
        <v>3.2658624000000001</v>
      </c>
      <c r="G133">
        <v>0.54431039999999997</v>
      </c>
      <c r="H133">
        <v>0.61688512000000006</v>
      </c>
      <c r="I133">
        <v>2.6761927999999997E-2</v>
      </c>
      <c r="J133">
        <v>1.3154168000000001E-2</v>
      </c>
      <c r="K133">
        <v>11.5</v>
      </c>
      <c r="L133">
        <v>62.8</v>
      </c>
      <c r="M133">
        <v>0.64</v>
      </c>
      <c r="N133">
        <v>0.37</v>
      </c>
      <c r="O133">
        <v>11.9</v>
      </c>
      <c r="P133">
        <v>0.51</v>
      </c>
      <c r="Q133">
        <v>0.25</v>
      </c>
    </row>
    <row r="134" spans="3:17">
      <c r="C134">
        <v>272.15519999999998</v>
      </c>
      <c r="D134">
        <v>0.68038799999999999</v>
      </c>
      <c r="E134">
        <v>6.1</v>
      </c>
      <c r="F134">
        <v>3.7512058399999999</v>
      </c>
      <c r="G134">
        <v>0.63502879999999995</v>
      </c>
      <c r="H134">
        <v>0.65317247999999994</v>
      </c>
      <c r="I134">
        <v>2.721552E-2</v>
      </c>
      <c r="J134">
        <v>1.4061351999999999E-2</v>
      </c>
      <c r="K134">
        <v>13.2</v>
      </c>
      <c r="L134">
        <v>62.9</v>
      </c>
      <c r="M134">
        <v>0.64</v>
      </c>
      <c r="N134">
        <v>0.37</v>
      </c>
      <c r="O134">
        <v>10.9</v>
      </c>
      <c r="P134">
        <v>0.46</v>
      </c>
      <c r="Q134">
        <v>0.23</v>
      </c>
    </row>
    <row r="135" spans="3:17">
      <c r="C135">
        <v>317.51440000000002</v>
      </c>
      <c r="D135">
        <v>0.68038799999999999</v>
      </c>
      <c r="E135">
        <v>6.8</v>
      </c>
      <c r="F135">
        <v>4.20026192</v>
      </c>
      <c r="G135">
        <v>0.68038799999999999</v>
      </c>
      <c r="H135">
        <v>0.68945984000000005</v>
      </c>
      <c r="I135">
        <v>2.8122703999999998E-2</v>
      </c>
      <c r="J135">
        <v>1.4514944E-2</v>
      </c>
      <c r="K135">
        <v>14.8</v>
      </c>
      <c r="L135">
        <v>62.7</v>
      </c>
      <c r="M135">
        <v>0.64</v>
      </c>
      <c r="N135">
        <v>0.37</v>
      </c>
      <c r="O135">
        <v>10.3</v>
      </c>
      <c r="P135">
        <v>0.42</v>
      </c>
      <c r="Q135">
        <v>0.22</v>
      </c>
    </row>
    <row r="136" spans="3:17">
      <c r="C136">
        <v>362.87360000000001</v>
      </c>
      <c r="D136">
        <v>0.68038799999999999</v>
      </c>
      <c r="E136">
        <v>7.5</v>
      </c>
      <c r="F136">
        <v>4.6402461600000002</v>
      </c>
      <c r="G136">
        <v>0.77110639999999997</v>
      </c>
      <c r="H136">
        <v>0.72121128000000001</v>
      </c>
      <c r="I136">
        <v>2.8576296000000001E-2</v>
      </c>
      <c r="J136">
        <v>1.5422128E-2</v>
      </c>
      <c r="K136">
        <v>16.3</v>
      </c>
      <c r="L136">
        <v>62.7</v>
      </c>
      <c r="M136">
        <v>0.64</v>
      </c>
      <c r="N136">
        <v>0.37</v>
      </c>
      <c r="O136">
        <v>9.8000000000000007</v>
      </c>
      <c r="P136">
        <v>0.39</v>
      </c>
      <c r="Q136">
        <v>0.21</v>
      </c>
    </row>
    <row r="137" spans="3:17">
      <c r="C137">
        <v>408.2328</v>
      </c>
      <c r="D137">
        <v>0.68038799999999999</v>
      </c>
      <c r="E137">
        <v>8.1999999999999993</v>
      </c>
      <c r="F137">
        <v>5.0666226400000003</v>
      </c>
      <c r="G137">
        <v>0.81646560000000001</v>
      </c>
      <c r="H137">
        <v>0.75296271999999997</v>
      </c>
      <c r="I137">
        <v>2.9483479999999999E-2</v>
      </c>
      <c r="J137">
        <v>1.6329311999999999E-2</v>
      </c>
      <c r="K137">
        <v>17.8</v>
      </c>
      <c r="L137">
        <v>62.7</v>
      </c>
      <c r="M137">
        <v>0.64</v>
      </c>
      <c r="N137">
        <v>0.37</v>
      </c>
      <c r="O137">
        <v>9.3000000000000007</v>
      </c>
      <c r="P137">
        <v>0.36</v>
      </c>
      <c r="Q137">
        <v>0.2</v>
      </c>
    </row>
    <row r="138" spans="3:17">
      <c r="C138">
        <v>226.79599999999999</v>
      </c>
      <c r="D138">
        <v>0.90718399999999999</v>
      </c>
      <c r="E138">
        <v>5.3</v>
      </c>
      <c r="F138">
        <v>3.4745147200000002</v>
      </c>
      <c r="G138">
        <v>0.72574720000000004</v>
      </c>
      <c r="H138">
        <v>0.71213944000000007</v>
      </c>
      <c r="I138">
        <v>3.3112216E-2</v>
      </c>
      <c r="J138">
        <v>1.5875720000000003E-2</v>
      </c>
      <c r="K138">
        <v>11.6</v>
      </c>
      <c r="L138">
        <v>66.3</v>
      </c>
      <c r="M138">
        <v>0.69</v>
      </c>
      <c r="N138">
        <v>0.42</v>
      </c>
      <c r="O138">
        <v>13.6</v>
      </c>
      <c r="P138">
        <v>0.63</v>
      </c>
      <c r="Q138">
        <v>0.3</v>
      </c>
    </row>
    <row r="139" spans="3:17">
      <c r="C139">
        <v>272.15519999999998</v>
      </c>
      <c r="D139">
        <v>0.90718399999999999</v>
      </c>
      <c r="E139">
        <v>6.1</v>
      </c>
      <c r="F139">
        <v>3.9916096000000003</v>
      </c>
      <c r="G139">
        <v>0.86182479999999995</v>
      </c>
      <c r="H139">
        <v>0.74389087999999992</v>
      </c>
      <c r="I139">
        <v>3.3565807999999996E-2</v>
      </c>
      <c r="J139">
        <v>1.6329311999999999E-2</v>
      </c>
      <c r="K139">
        <v>13.3</v>
      </c>
      <c r="L139">
        <v>66.400000000000006</v>
      </c>
      <c r="M139">
        <v>0.69</v>
      </c>
      <c r="N139">
        <v>0.42</v>
      </c>
      <c r="O139">
        <v>12.4</v>
      </c>
      <c r="P139">
        <v>0.56000000000000005</v>
      </c>
      <c r="Q139">
        <v>0.27</v>
      </c>
    </row>
    <row r="140" spans="3:17">
      <c r="C140">
        <v>317.51440000000002</v>
      </c>
      <c r="D140">
        <v>0.90718399999999999</v>
      </c>
      <c r="E140">
        <v>6.8</v>
      </c>
      <c r="F140">
        <v>4.4633452799999995</v>
      </c>
      <c r="G140">
        <v>0.95254320000000003</v>
      </c>
      <c r="H140">
        <v>0.77564232</v>
      </c>
      <c r="I140">
        <v>3.4019399999999998E-2</v>
      </c>
      <c r="J140">
        <v>1.7236496E-2</v>
      </c>
      <c r="K140">
        <v>14.9</v>
      </c>
      <c r="L140">
        <v>66.2</v>
      </c>
      <c r="M140">
        <v>0.69</v>
      </c>
      <c r="N140">
        <v>0.42</v>
      </c>
      <c r="O140">
        <v>11.5</v>
      </c>
      <c r="P140">
        <v>0.5</v>
      </c>
      <c r="Q140">
        <v>0.25</v>
      </c>
    </row>
    <row r="141" spans="3:17">
      <c r="C141">
        <v>362.87360000000001</v>
      </c>
      <c r="D141">
        <v>0.90718399999999999</v>
      </c>
      <c r="E141">
        <v>7.5</v>
      </c>
      <c r="F141">
        <v>4.9305450399999993</v>
      </c>
      <c r="G141">
        <v>1.0432615999999999</v>
      </c>
      <c r="H141">
        <v>0.80739375999999996</v>
      </c>
      <c r="I141">
        <v>3.4472992000000001E-2</v>
      </c>
      <c r="J141">
        <v>1.7690088E-2</v>
      </c>
      <c r="K141">
        <v>16.399999999999999</v>
      </c>
      <c r="L141">
        <v>66.099999999999994</v>
      </c>
      <c r="M141">
        <v>0.69</v>
      </c>
      <c r="N141">
        <v>0.42</v>
      </c>
      <c r="O141">
        <v>10.8</v>
      </c>
      <c r="P141">
        <v>0.46</v>
      </c>
      <c r="Q141">
        <v>0.24</v>
      </c>
    </row>
    <row r="142" spans="3:17">
      <c r="C142">
        <v>408.2328</v>
      </c>
      <c r="D142">
        <v>0.90718399999999999</v>
      </c>
      <c r="E142">
        <v>8.1999999999999993</v>
      </c>
      <c r="F142">
        <v>5.3886729600000001</v>
      </c>
      <c r="G142">
        <v>1.1793392</v>
      </c>
      <c r="H142">
        <v>0.83460928000000001</v>
      </c>
      <c r="I142">
        <v>3.4926583999999997E-2</v>
      </c>
      <c r="J142">
        <v>1.8597272000000001E-2</v>
      </c>
      <c r="K142">
        <v>18</v>
      </c>
      <c r="L142">
        <v>66.099999999999994</v>
      </c>
      <c r="M142">
        <v>0.69</v>
      </c>
      <c r="N142">
        <v>0.42</v>
      </c>
      <c r="O142">
        <v>10.3</v>
      </c>
      <c r="P142">
        <v>0.43</v>
      </c>
      <c r="Q142">
        <v>0.23</v>
      </c>
    </row>
    <row r="143" spans="3:17">
      <c r="C143">
        <v>226.79599999999999</v>
      </c>
      <c r="D143">
        <v>1.13398</v>
      </c>
      <c r="E143">
        <v>5.3</v>
      </c>
      <c r="F143">
        <v>3.6695592800000001</v>
      </c>
      <c r="G143">
        <v>0.90718399999999999</v>
      </c>
      <c r="H143">
        <v>0.80739375999999996</v>
      </c>
      <c r="I143">
        <v>3.9462503999999995E-2</v>
      </c>
      <c r="J143">
        <v>1.8597272000000001E-2</v>
      </c>
      <c r="K143">
        <v>11.5</v>
      </c>
      <c r="L143">
        <v>70.099999999999994</v>
      </c>
      <c r="M143">
        <v>0.74</v>
      </c>
      <c r="N143">
        <v>0.47</v>
      </c>
      <c r="O143">
        <v>15.4</v>
      </c>
      <c r="P143">
        <v>0.76</v>
      </c>
      <c r="Q143">
        <v>0.35</v>
      </c>
    </row>
    <row r="144" spans="3:17">
      <c r="C144">
        <v>272.15519999999998</v>
      </c>
      <c r="D144">
        <v>1.13398</v>
      </c>
      <c r="E144">
        <v>6.1</v>
      </c>
      <c r="F144">
        <v>4.2138696799999993</v>
      </c>
      <c r="G144">
        <v>1.0886207999999999</v>
      </c>
      <c r="H144">
        <v>0.83460928000000001</v>
      </c>
      <c r="I144">
        <v>3.9462503999999995E-2</v>
      </c>
      <c r="J144">
        <v>1.9050864000000001E-2</v>
      </c>
      <c r="K144">
        <v>13.2</v>
      </c>
      <c r="L144">
        <v>70.2</v>
      </c>
      <c r="M144">
        <v>0.75</v>
      </c>
      <c r="N144">
        <v>0.47</v>
      </c>
      <c r="O144">
        <v>13.9</v>
      </c>
      <c r="P144">
        <v>0.66</v>
      </c>
      <c r="Q144">
        <v>0.31</v>
      </c>
    </row>
    <row r="145" spans="1:17">
      <c r="C145">
        <v>317.51440000000002</v>
      </c>
      <c r="D145">
        <v>1.13398</v>
      </c>
      <c r="E145">
        <v>6.8</v>
      </c>
      <c r="F145">
        <v>4.7173568000000001</v>
      </c>
      <c r="G145">
        <v>1.2246984000000001</v>
      </c>
      <c r="H145">
        <v>0.86182479999999995</v>
      </c>
      <c r="I145">
        <v>3.9916095999999998E-2</v>
      </c>
      <c r="J145">
        <v>1.9504456E-2</v>
      </c>
      <c r="K145">
        <v>14.9</v>
      </c>
      <c r="L145">
        <v>70</v>
      </c>
      <c r="M145">
        <v>0.74</v>
      </c>
      <c r="N145">
        <v>0.47</v>
      </c>
      <c r="O145">
        <v>12.8</v>
      </c>
      <c r="P145">
        <v>0.59</v>
      </c>
      <c r="Q145">
        <v>0.28999999999999998</v>
      </c>
    </row>
    <row r="146" spans="1:17">
      <c r="C146">
        <v>362.87360000000001</v>
      </c>
      <c r="D146">
        <v>1.13398</v>
      </c>
      <c r="E146">
        <v>7.5</v>
      </c>
      <c r="F146">
        <v>5.2072361599999999</v>
      </c>
      <c r="G146">
        <v>1.3154167999999999</v>
      </c>
      <c r="H146">
        <v>0.88904032</v>
      </c>
      <c r="I146">
        <v>3.9916095999999998E-2</v>
      </c>
      <c r="J146">
        <v>1.9958047999999999E-2</v>
      </c>
      <c r="K146">
        <v>16.399999999999999</v>
      </c>
      <c r="L146">
        <v>69.900000000000006</v>
      </c>
      <c r="M146">
        <v>0.74</v>
      </c>
      <c r="N146">
        <v>0.47</v>
      </c>
      <c r="O146">
        <v>11.9</v>
      </c>
      <c r="P146">
        <v>0.54</v>
      </c>
      <c r="Q146">
        <v>0.27</v>
      </c>
    </row>
    <row r="147" spans="1:17">
      <c r="C147">
        <v>408.2328</v>
      </c>
      <c r="D147">
        <v>1.13398</v>
      </c>
      <c r="E147">
        <v>8.1999999999999993</v>
      </c>
      <c r="F147">
        <v>5.6925796000000002</v>
      </c>
      <c r="G147">
        <v>1.4514944000000001</v>
      </c>
      <c r="H147">
        <v>0.91625584000000004</v>
      </c>
      <c r="I147">
        <v>4.0369688000000001E-2</v>
      </c>
      <c r="J147">
        <v>2.0411639999999998E-2</v>
      </c>
      <c r="K147">
        <v>17.899999999999999</v>
      </c>
      <c r="L147">
        <v>69.900000000000006</v>
      </c>
      <c r="M147">
        <v>0.74</v>
      </c>
      <c r="N147">
        <v>0.47</v>
      </c>
      <c r="O147">
        <v>11.2</v>
      </c>
      <c r="P147">
        <v>0.49</v>
      </c>
      <c r="Q147">
        <v>0.25</v>
      </c>
    </row>
    <row r="148" spans="1:17">
      <c r="C148">
        <v>226.79599999999999</v>
      </c>
      <c r="D148">
        <v>1.360776</v>
      </c>
      <c r="E148">
        <v>5.3</v>
      </c>
      <c r="F148">
        <v>3.8509960800000003</v>
      </c>
      <c r="G148">
        <v>1.13398</v>
      </c>
      <c r="H148">
        <v>0.90264807999999996</v>
      </c>
      <c r="I148">
        <v>4.5812792000000005E-2</v>
      </c>
      <c r="J148">
        <v>2.0865232000000001E-2</v>
      </c>
      <c r="K148">
        <v>11.4</v>
      </c>
      <c r="L148">
        <v>74.3</v>
      </c>
      <c r="M148">
        <v>0.8</v>
      </c>
      <c r="N148">
        <v>0.52</v>
      </c>
      <c r="O148">
        <v>17.399999999999999</v>
      </c>
      <c r="P148">
        <v>0.89</v>
      </c>
      <c r="Q148">
        <v>0.4</v>
      </c>
    </row>
    <row r="149" spans="1:17">
      <c r="C149">
        <v>272.15519999999998</v>
      </c>
      <c r="D149">
        <v>1.360776</v>
      </c>
      <c r="E149">
        <v>6.1</v>
      </c>
      <c r="F149">
        <v>4.4225219999999998</v>
      </c>
      <c r="G149">
        <v>1.3154167999999999</v>
      </c>
      <c r="H149">
        <v>0.92532767999999999</v>
      </c>
      <c r="I149">
        <v>4.5812792000000005E-2</v>
      </c>
      <c r="J149">
        <v>2.1318824E-2</v>
      </c>
      <c r="K149">
        <v>13.1</v>
      </c>
      <c r="L149">
        <v>74.5</v>
      </c>
      <c r="M149">
        <v>0.81</v>
      </c>
      <c r="N149">
        <v>0.52</v>
      </c>
      <c r="O149">
        <v>15.6</v>
      </c>
      <c r="P149">
        <v>0.77</v>
      </c>
      <c r="Q149">
        <v>0.36</v>
      </c>
    </row>
    <row r="150" spans="1:17">
      <c r="C150">
        <v>317.51440000000002</v>
      </c>
      <c r="D150">
        <v>1.360776</v>
      </c>
      <c r="E150">
        <v>6.8</v>
      </c>
      <c r="F150">
        <v>4.9532246400000002</v>
      </c>
      <c r="G150">
        <v>1.4514944000000001</v>
      </c>
      <c r="H150">
        <v>0.9480072799999999</v>
      </c>
      <c r="I150">
        <v>4.5812792000000005E-2</v>
      </c>
      <c r="J150">
        <v>2.1772415999999999E-2</v>
      </c>
      <c r="K150">
        <v>14.7</v>
      </c>
      <c r="L150">
        <v>74.3</v>
      </c>
      <c r="M150">
        <v>0.8</v>
      </c>
      <c r="N150">
        <v>0.52</v>
      </c>
      <c r="O150">
        <v>14.2</v>
      </c>
      <c r="P150">
        <v>0.68</v>
      </c>
      <c r="Q150">
        <v>0.33</v>
      </c>
    </row>
    <row r="151" spans="1:17">
      <c r="C151">
        <v>362.87360000000001</v>
      </c>
      <c r="D151">
        <v>1.360776</v>
      </c>
      <c r="E151">
        <v>7.5</v>
      </c>
      <c r="F151">
        <v>5.4703195200000003</v>
      </c>
      <c r="G151">
        <v>1.6329312</v>
      </c>
      <c r="H151">
        <v>0.97068688000000003</v>
      </c>
      <c r="I151">
        <v>4.5359200000000002E-2</v>
      </c>
      <c r="J151">
        <v>2.2226008000000002E-2</v>
      </c>
      <c r="K151">
        <v>16.3</v>
      </c>
      <c r="L151">
        <v>74.2</v>
      </c>
      <c r="M151">
        <v>0.8</v>
      </c>
      <c r="N151">
        <v>0.52</v>
      </c>
      <c r="O151">
        <v>13.2</v>
      </c>
      <c r="P151">
        <v>0.62</v>
      </c>
      <c r="Q151">
        <v>0.3</v>
      </c>
    </row>
    <row r="152" spans="1:17">
      <c r="C152">
        <v>408.2328</v>
      </c>
      <c r="D152">
        <v>1.360776</v>
      </c>
      <c r="E152">
        <v>8.1999999999999993</v>
      </c>
      <c r="F152">
        <v>5.9783425599999998</v>
      </c>
      <c r="G152">
        <v>1.7690087999999999</v>
      </c>
      <c r="H152">
        <v>0.99336647999999994</v>
      </c>
      <c r="I152">
        <v>4.5359200000000002E-2</v>
      </c>
      <c r="J152">
        <v>2.2679600000000001E-2</v>
      </c>
      <c r="K152">
        <v>17.8</v>
      </c>
      <c r="L152">
        <v>74.2</v>
      </c>
      <c r="M152">
        <v>0.8</v>
      </c>
      <c r="N152">
        <v>0.52</v>
      </c>
      <c r="O152">
        <v>12.3</v>
      </c>
      <c r="P152">
        <v>0.56000000000000005</v>
      </c>
      <c r="Q152">
        <v>0.28000000000000003</v>
      </c>
    </row>
    <row r="153" spans="1:17">
      <c r="C153">
        <v>0</v>
      </c>
      <c r="D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7">
      <c r="C154">
        <v>0</v>
      </c>
      <c r="D154">
        <v>0</v>
      </c>
      <c r="F154" t="e">
        <v>#VALUE!</v>
      </c>
      <c r="G154">
        <v>0</v>
      </c>
      <c r="H154">
        <v>0</v>
      </c>
      <c r="I154">
        <v>0</v>
      </c>
      <c r="J154">
        <v>0</v>
      </c>
      <c r="K154" t="s">
        <v>21</v>
      </c>
    </row>
    <row r="155" spans="1:17">
      <c r="A155" t="s">
        <v>43</v>
      </c>
      <c r="C155" t="s">
        <v>121</v>
      </c>
      <c r="D155" t="s">
        <v>124</v>
      </c>
      <c r="E155" t="s">
        <v>23</v>
      </c>
      <c r="F155" t="s">
        <v>116</v>
      </c>
      <c r="G155" t="s">
        <v>117</v>
      </c>
      <c r="H155" t="s">
        <v>118</v>
      </c>
      <c r="I155" t="s">
        <v>119</v>
      </c>
      <c r="J155" t="s">
        <v>120</v>
      </c>
      <c r="K155" t="s">
        <v>15</v>
      </c>
      <c r="L155" t="s">
        <v>16</v>
      </c>
      <c r="M155" t="s">
        <v>17</v>
      </c>
      <c r="N155" t="s">
        <v>24</v>
      </c>
      <c r="O155" t="s">
        <v>18</v>
      </c>
      <c r="P155" t="s">
        <v>19</v>
      </c>
      <c r="Q155" t="s">
        <v>20</v>
      </c>
    </row>
    <row r="156" spans="1:17">
      <c r="C156">
        <v>408.2328</v>
      </c>
      <c r="D156">
        <v>0.453592</v>
      </c>
      <c r="E156">
        <v>8.1999999999999993</v>
      </c>
      <c r="F156">
        <v>5.1119818399999994</v>
      </c>
      <c r="G156">
        <v>0.54431039999999997</v>
      </c>
      <c r="H156">
        <v>0.69853167999999999</v>
      </c>
      <c r="I156">
        <v>2.3586784E-2</v>
      </c>
      <c r="J156">
        <v>1.4061351999999999E-2</v>
      </c>
      <c r="K156">
        <v>20.7</v>
      </c>
      <c r="L156">
        <v>54.3</v>
      </c>
      <c r="M156">
        <v>0.51</v>
      </c>
      <c r="N156">
        <v>0.25</v>
      </c>
      <c r="O156">
        <v>7.4</v>
      </c>
      <c r="P156">
        <v>0.25</v>
      </c>
      <c r="Q156">
        <v>0.15</v>
      </c>
    </row>
    <row r="157" spans="1:17">
      <c r="C157">
        <v>453.59199999999998</v>
      </c>
      <c r="D157">
        <v>0.453592</v>
      </c>
      <c r="E157">
        <v>8.9</v>
      </c>
      <c r="F157">
        <v>5.5383583200000004</v>
      </c>
      <c r="G157">
        <v>0.58966960000000002</v>
      </c>
      <c r="H157">
        <v>0.73481904000000009</v>
      </c>
      <c r="I157">
        <v>2.4493967999999998E-2</v>
      </c>
      <c r="J157">
        <v>1.4968536000000001E-2</v>
      </c>
      <c r="K157">
        <v>22.5</v>
      </c>
      <c r="L157">
        <v>54.4</v>
      </c>
      <c r="M157">
        <v>0.51</v>
      </c>
      <c r="N157">
        <v>0.26</v>
      </c>
      <c r="O157">
        <v>7.2</v>
      </c>
      <c r="P157">
        <v>0.24</v>
      </c>
      <c r="Q157">
        <v>0.15</v>
      </c>
    </row>
    <row r="158" spans="1:17">
      <c r="C158">
        <v>498.95119999999997</v>
      </c>
      <c r="D158">
        <v>0.453592</v>
      </c>
      <c r="E158">
        <v>9.5</v>
      </c>
      <c r="F158">
        <v>5.9329833599999997</v>
      </c>
      <c r="G158">
        <v>0.63502879999999995</v>
      </c>
      <c r="H158">
        <v>0.76657047999999994</v>
      </c>
      <c r="I158">
        <v>2.5854743999999999E-2</v>
      </c>
      <c r="J158">
        <v>1.5875720000000003E-2</v>
      </c>
      <c r="K158">
        <v>24.1</v>
      </c>
      <c r="L158">
        <v>54.3</v>
      </c>
      <c r="M158">
        <v>0.51</v>
      </c>
      <c r="N158">
        <v>0.25</v>
      </c>
      <c r="O158">
        <v>7</v>
      </c>
      <c r="P158">
        <v>0.23</v>
      </c>
      <c r="Q158">
        <v>0.14000000000000001</v>
      </c>
    </row>
    <row r="159" spans="1:17">
      <c r="C159">
        <v>544.31039999999996</v>
      </c>
      <c r="D159">
        <v>0.453592</v>
      </c>
      <c r="E159">
        <v>10.199999999999999</v>
      </c>
      <c r="F159">
        <v>6.3502879999999999</v>
      </c>
      <c r="G159">
        <v>0.68038799999999999</v>
      </c>
      <c r="H159">
        <v>0.79832192000000002</v>
      </c>
      <c r="I159">
        <v>2.6761927999999997E-2</v>
      </c>
      <c r="J159">
        <v>1.6329311999999999E-2</v>
      </c>
      <c r="K159">
        <v>25.7</v>
      </c>
      <c r="L159">
        <v>54.4</v>
      </c>
      <c r="M159">
        <v>0.51</v>
      </c>
      <c r="N159">
        <v>0.26</v>
      </c>
      <c r="O159">
        <v>6.9</v>
      </c>
      <c r="P159">
        <v>0.23</v>
      </c>
      <c r="Q159">
        <v>0.14000000000000001</v>
      </c>
    </row>
    <row r="160" spans="1:17">
      <c r="C160">
        <v>589.66959999999995</v>
      </c>
      <c r="D160">
        <v>0.453592</v>
      </c>
      <c r="E160">
        <v>10.8</v>
      </c>
      <c r="F160">
        <v>6.7358411999999994</v>
      </c>
      <c r="G160">
        <v>0.68038799999999999</v>
      </c>
      <c r="H160">
        <v>0.83007335999999998</v>
      </c>
      <c r="I160">
        <v>2.7669111999999999E-2</v>
      </c>
      <c r="J160">
        <v>1.7236496E-2</v>
      </c>
      <c r="K160">
        <v>27.3</v>
      </c>
      <c r="L160">
        <v>54.3</v>
      </c>
      <c r="M160">
        <v>0.51</v>
      </c>
      <c r="N160">
        <v>0.25</v>
      </c>
      <c r="O160">
        <v>6.7</v>
      </c>
      <c r="P160">
        <v>0.22</v>
      </c>
      <c r="Q160">
        <v>0.14000000000000001</v>
      </c>
    </row>
    <row r="161" spans="3:17">
      <c r="C161">
        <v>635.02880000000005</v>
      </c>
      <c r="D161">
        <v>0.453592</v>
      </c>
      <c r="E161">
        <v>11.4</v>
      </c>
      <c r="F161">
        <v>7.11232256</v>
      </c>
      <c r="G161">
        <v>0.72574720000000004</v>
      </c>
      <c r="H161">
        <v>0.86182479999999995</v>
      </c>
      <c r="I161">
        <v>2.8576296000000001E-2</v>
      </c>
      <c r="J161">
        <v>1.8143679999999999E-2</v>
      </c>
      <c r="K161">
        <v>28.9</v>
      </c>
      <c r="L161">
        <v>54.3</v>
      </c>
      <c r="M161">
        <v>0.51</v>
      </c>
      <c r="N161">
        <v>0.25</v>
      </c>
      <c r="O161">
        <v>6.6</v>
      </c>
      <c r="P161">
        <v>0.22</v>
      </c>
      <c r="Q161">
        <v>0.14000000000000001</v>
      </c>
    </row>
    <row r="162" spans="3:17">
      <c r="C162">
        <v>680.38800000000003</v>
      </c>
      <c r="D162">
        <v>0.453592</v>
      </c>
      <c r="E162">
        <v>12</v>
      </c>
      <c r="F162">
        <v>7.4888039200000005</v>
      </c>
      <c r="G162">
        <v>0.77110639999999997</v>
      </c>
      <c r="H162">
        <v>0.89357624000000002</v>
      </c>
      <c r="I162">
        <v>2.9483479999999999E-2</v>
      </c>
      <c r="J162">
        <v>1.9050864000000001E-2</v>
      </c>
      <c r="K162">
        <v>30.4</v>
      </c>
      <c r="L162">
        <v>54.3</v>
      </c>
      <c r="M162">
        <v>0.51</v>
      </c>
      <c r="N162">
        <v>0.25</v>
      </c>
      <c r="O162">
        <v>6.5</v>
      </c>
      <c r="P162">
        <v>0.21</v>
      </c>
      <c r="Q162">
        <v>0.14000000000000001</v>
      </c>
    </row>
    <row r="163" spans="3:17">
      <c r="C163">
        <v>725.74720000000002</v>
      </c>
      <c r="D163">
        <v>0.453592</v>
      </c>
      <c r="E163">
        <v>12.6</v>
      </c>
      <c r="F163">
        <v>7.8607493599999989</v>
      </c>
      <c r="G163">
        <v>0.81646560000000001</v>
      </c>
      <c r="H163">
        <v>0.92532767999999999</v>
      </c>
      <c r="I163">
        <v>3.0390664000000001E-2</v>
      </c>
      <c r="J163">
        <v>1.9958047999999999E-2</v>
      </c>
      <c r="K163">
        <v>31.9</v>
      </c>
      <c r="L163">
        <v>54.3</v>
      </c>
      <c r="M163">
        <v>0.51</v>
      </c>
      <c r="N163">
        <v>0.25</v>
      </c>
      <c r="O163">
        <v>6.4</v>
      </c>
      <c r="P163">
        <v>0.21</v>
      </c>
      <c r="Q163">
        <v>0.14000000000000001</v>
      </c>
    </row>
    <row r="164" spans="3:17">
      <c r="C164">
        <v>771.10640000000001</v>
      </c>
      <c r="D164">
        <v>0.453592</v>
      </c>
      <c r="E164">
        <v>13.2</v>
      </c>
      <c r="F164">
        <v>8.2326947999999991</v>
      </c>
      <c r="G164">
        <v>0.86182479999999995</v>
      </c>
      <c r="H164">
        <v>0.95254320000000003</v>
      </c>
      <c r="I164">
        <v>3.1297848000000003E-2</v>
      </c>
      <c r="J164">
        <v>2.0865232000000001E-2</v>
      </c>
      <c r="K164">
        <v>33.4</v>
      </c>
      <c r="L164">
        <v>54.3</v>
      </c>
      <c r="M164">
        <v>0.51</v>
      </c>
      <c r="N164">
        <v>0.25</v>
      </c>
      <c r="O164">
        <v>6.3</v>
      </c>
      <c r="P164">
        <v>0.21</v>
      </c>
      <c r="Q164">
        <v>0.14000000000000001</v>
      </c>
    </row>
    <row r="165" spans="3:17">
      <c r="C165">
        <v>816.46559999999999</v>
      </c>
      <c r="D165">
        <v>0.453592</v>
      </c>
      <c r="E165">
        <v>13.8</v>
      </c>
      <c r="F165">
        <v>8.6001043199999998</v>
      </c>
      <c r="G165">
        <v>0.90718399999999999</v>
      </c>
      <c r="H165">
        <v>0.98429464</v>
      </c>
      <c r="I165">
        <v>3.2658623999999997E-2</v>
      </c>
      <c r="J165">
        <v>2.1772415999999999E-2</v>
      </c>
      <c r="K165">
        <v>34.9</v>
      </c>
      <c r="L165">
        <v>54.3</v>
      </c>
      <c r="M165">
        <v>0.51</v>
      </c>
      <c r="N165">
        <v>0.25</v>
      </c>
      <c r="O165">
        <v>6.2</v>
      </c>
      <c r="P165">
        <v>0.21</v>
      </c>
      <c r="Q165">
        <v>0.14000000000000001</v>
      </c>
    </row>
    <row r="166" spans="3:17">
      <c r="C166">
        <v>408.2328</v>
      </c>
      <c r="D166">
        <v>0.68038799999999999</v>
      </c>
      <c r="E166">
        <v>8.1999999999999993</v>
      </c>
      <c r="F166">
        <v>5.4567117599999992</v>
      </c>
      <c r="G166">
        <v>0.81646560000000001</v>
      </c>
      <c r="H166">
        <v>0.79378599999999999</v>
      </c>
      <c r="I166">
        <v>2.9483479999999999E-2</v>
      </c>
      <c r="J166">
        <v>1.6329311999999999E-2</v>
      </c>
      <c r="K166">
        <v>21</v>
      </c>
      <c r="L166">
        <v>57.2</v>
      </c>
      <c r="M166">
        <v>0.55000000000000004</v>
      </c>
      <c r="N166">
        <v>0.3</v>
      </c>
      <c r="O166">
        <v>8.3000000000000007</v>
      </c>
      <c r="P166">
        <v>0.31</v>
      </c>
      <c r="Q166">
        <v>0.17</v>
      </c>
    </row>
    <row r="167" spans="3:17">
      <c r="C167">
        <v>453.59199999999998</v>
      </c>
      <c r="D167">
        <v>0.68038799999999999</v>
      </c>
      <c r="E167">
        <v>8.9</v>
      </c>
      <c r="F167">
        <v>5.9103037599999997</v>
      </c>
      <c r="G167">
        <v>0.90718399999999999</v>
      </c>
      <c r="H167">
        <v>0.82553744000000007</v>
      </c>
      <c r="I167">
        <v>2.9937072000000002E-2</v>
      </c>
      <c r="J167">
        <v>1.6782903999999998E-2</v>
      </c>
      <c r="K167">
        <v>22.8</v>
      </c>
      <c r="L167">
        <v>57.2</v>
      </c>
      <c r="M167">
        <v>0.55000000000000004</v>
      </c>
      <c r="N167">
        <v>0.3</v>
      </c>
      <c r="O167">
        <v>8</v>
      </c>
      <c r="P167">
        <v>0.28999999999999998</v>
      </c>
      <c r="Q167">
        <v>0.16</v>
      </c>
    </row>
    <row r="168" spans="3:17">
      <c r="C168">
        <v>498.95119999999997</v>
      </c>
      <c r="D168">
        <v>0.68038799999999999</v>
      </c>
      <c r="E168">
        <v>9.5</v>
      </c>
      <c r="F168">
        <v>6.3366802400000006</v>
      </c>
      <c r="G168">
        <v>0.95254320000000003</v>
      </c>
      <c r="H168">
        <v>0.85728887999999992</v>
      </c>
      <c r="I168">
        <v>3.0844256E-2</v>
      </c>
      <c r="J168">
        <v>1.7690088E-2</v>
      </c>
      <c r="K168">
        <v>24.5</v>
      </c>
      <c r="L168">
        <v>57.1</v>
      </c>
      <c r="M168">
        <v>0.55000000000000004</v>
      </c>
      <c r="N168">
        <v>0.28999999999999998</v>
      </c>
      <c r="O168">
        <v>7.7</v>
      </c>
      <c r="P168">
        <v>0.28000000000000003</v>
      </c>
      <c r="Q168">
        <v>0.16</v>
      </c>
    </row>
    <row r="169" spans="3:17">
      <c r="C169">
        <v>544.31039999999996</v>
      </c>
      <c r="D169">
        <v>0.68038799999999999</v>
      </c>
      <c r="E169">
        <v>10.199999999999999</v>
      </c>
      <c r="F169">
        <v>6.77666448</v>
      </c>
      <c r="G169">
        <v>1.0432615999999999</v>
      </c>
      <c r="H169">
        <v>0.88450439999999997</v>
      </c>
      <c r="I169">
        <v>3.1297848000000003E-2</v>
      </c>
      <c r="J169">
        <v>1.8597272000000001E-2</v>
      </c>
      <c r="K169">
        <v>26.1</v>
      </c>
      <c r="L169">
        <v>57.2</v>
      </c>
      <c r="M169">
        <v>0.55000000000000004</v>
      </c>
      <c r="N169">
        <v>0.3</v>
      </c>
      <c r="O169">
        <v>7.5</v>
      </c>
      <c r="P169">
        <v>0.27</v>
      </c>
      <c r="Q169">
        <v>0.16</v>
      </c>
    </row>
    <row r="170" spans="3:17">
      <c r="C170">
        <v>589.66959999999995</v>
      </c>
      <c r="D170">
        <v>0.68038799999999999</v>
      </c>
      <c r="E170">
        <v>10.8</v>
      </c>
      <c r="F170">
        <v>7.1939691199999993</v>
      </c>
      <c r="G170">
        <v>1.0886207999999999</v>
      </c>
      <c r="H170">
        <v>0.91171991999999991</v>
      </c>
      <c r="I170">
        <v>3.2205031999999995E-2</v>
      </c>
      <c r="J170">
        <v>1.9504456E-2</v>
      </c>
      <c r="K170">
        <v>27.7</v>
      </c>
      <c r="L170">
        <v>57.2</v>
      </c>
      <c r="M170">
        <v>0.55000000000000004</v>
      </c>
      <c r="N170">
        <v>0.3</v>
      </c>
      <c r="O170">
        <v>7.3</v>
      </c>
      <c r="P170">
        <v>0.26</v>
      </c>
      <c r="Q170">
        <v>0.15</v>
      </c>
    </row>
    <row r="171" spans="3:17">
      <c r="C171">
        <v>635.02880000000005</v>
      </c>
      <c r="D171">
        <v>0.68038799999999999</v>
      </c>
      <c r="E171">
        <v>11.4</v>
      </c>
      <c r="F171">
        <v>7.593130079999999</v>
      </c>
      <c r="G171">
        <v>1.13398</v>
      </c>
      <c r="H171">
        <v>0.93893543999999995</v>
      </c>
      <c r="I171">
        <v>3.3112216E-2</v>
      </c>
      <c r="J171">
        <v>1.9958047999999999E-2</v>
      </c>
      <c r="K171">
        <v>29.3</v>
      </c>
      <c r="L171">
        <v>57.1</v>
      </c>
      <c r="M171">
        <v>0.55000000000000004</v>
      </c>
      <c r="N171">
        <v>0.28999999999999998</v>
      </c>
      <c r="O171">
        <v>7.1</v>
      </c>
      <c r="P171">
        <v>0.25</v>
      </c>
      <c r="Q171">
        <v>0.15</v>
      </c>
    </row>
    <row r="172" spans="3:17">
      <c r="C172">
        <v>680.38800000000003</v>
      </c>
      <c r="D172">
        <v>0.68038799999999999</v>
      </c>
      <c r="E172">
        <v>12</v>
      </c>
      <c r="F172">
        <v>8.0013628800000003</v>
      </c>
      <c r="G172">
        <v>1.1793392</v>
      </c>
      <c r="H172">
        <v>0.96615095999999989</v>
      </c>
      <c r="I172">
        <v>3.4019399999999998E-2</v>
      </c>
      <c r="J172">
        <v>2.0865232000000001E-2</v>
      </c>
      <c r="K172">
        <v>30.9</v>
      </c>
      <c r="L172">
        <v>57.1</v>
      </c>
      <c r="M172">
        <v>0.55000000000000004</v>
      </c>
      <c r="N172">
        <v>0.28999999999999998</v>
      </c>
      <c r="O172">
        <v>6.9</v>
      </c>
      <c r="P172">
        <v>0.24</v>
      </c>
      <c r="Q172">
        <v>0.15</v>
      </c>
    </row>
    <row r="173" spans="3:17">
      <c r="C173">
        <v>725.74720000000002</v>
      </c>
      <c r="D173">
        <v>0.68038799999999999</v>
      </c>
      <c r="E173">
        <v>12.6</v>
      </c>
      <c r="F173">
        <v>8.3959879200000014</v>
      </c>
      <c r="G173">
        <v>1.2700575999999999</v>
      </c>
      <c r="H173">
        <v>0.99336647999999994</v>
      </c>
      <c r="I173">
        <v>3.4472992000000001E-2</v>
      </c>
      <c r="J173">
        <v>2.1772415999999999E-2</v>
      </c>
      <c r="K173">
        <v>32.4</v>
      </c>
      <c r="L173">
        <v>57.1</v>
      </c>
      <c r="M173">
        <v>0.55000000000000004</v>
      </c>
      <c r="N173">
        <v>0.28999999999999998</v>
      </c>
      <c r="O173">
        <v>6.8</v>
      </c>
      <c r="P173">
        <v>0.24</v>
      </c>
      <c r="Q173">
        <v>0.15</v>
      </c>
    </row>
    <row r="174" spans="3:17">
      <c r="C174">
        <v>771.10640000000001</v>
      </c>
      <c r="D174">
        <v>0.68038799999999999</v>
      </c>
      <c r="E174">
        <v>13.2</v>
      </c>
      <c r="F174">
        <v>8.7906129599999989</v>
      </c>
      <c r="G174">
        <v>1.3154167999999999</v>
      </c>
      <c r="H174">
        <v>1.0205820000000001</v>
      </c>
      <c r="I174">
        <v>3.5380175999999999E-2</v>
      </c>
      <c r="J174">
        <v>2.2679600000000001E-2</v>
      </c>
      <c r="K174">
        <v>33.9</v>
      </c>
      <c r="L174">
        <v>57.1</v>
      </c>
      <c r="M174">
        <v>0.55000000000000004</v>
      </c>
      <c r="N174">
        <v>0.28999999999999998</v>
      </c>
      <c r="O174">
        <v>6.6</v>
      </c>
      <c r="P174">
        <v>0.23</v>
      </c>
      <c r="Q174">
        <v>0.15</v>
      </c>
    </row>
    <row r="175" spans="3:17">
      <c r="C175">
        <v>816.46559999999999</v>
      </c>
      <c r="D175">
        <v>0.68038799999999999</v>
      </c>
      <c r="E175">
        <v>13.8</v>
      </c>
      <c r="F175">
        <v>9.1807020799999997</v>
      </c>
      <c r="G175">
        <v>1.4061352</v>
      </c>
      <c r="H175">
        <v>1.04779752</v>
      </c>
      <c r="I175">
        <v>3.6287359999999998E-2</v>
      </c>
      <c r="J175">
        <v>2.3133191999999997E-2</v>
      </c>
      <c r="K175">
        <v>35.4</v>
      </c>
      <c r="L175">
        <v>57.2</v>
      </c>
      <c r="M175">
        <v>0.55000000000000004</v>
      </c>
      <c r="N175">
        <v>0.3</v>
      </c>
      <c r="O175">
        <v>6.5</v>
      </c>
      <c r="P175">
        <v>0.23</v>
      </c>
      <c r="Q175">
        <v>0.15</v>
      </c>
    </row>
    <row r="176" spans="3:17">
      <c r="C176">
        <v>408.2328</v>
      </c>
      <c r="D176">
        <v>0.90718399999999999</v>
      </c>
      <c r="E176">
        <v>8.1999999999999993</v>
      </c>
      <c r="F176">
        <v>5.7787620799999999</v>
      </c>
      <c r="G176">
        <v>1.1793392</v>
      </c>
      <c r="H176">
        <v>0.88904032</v>
      </c>
      <c r="I176">
        <v>3.4926583999999997E-2</v>
      </c>
      <c r="J176">
        <v>1.8597272000000001E-2</v>
      </c>
      <c r="K176">
        <v>21.2</v>
      </c>
      <c r="L176">
        <v>60.1</v>
      </c>
      <c r="M176">
        <v>0.6</v>
      </c>
      <c r="N176">
        <v>0.34</v>
      </c>
      <c r="O176">
        <v>9.3000000000000007</v>
      </c>
      <c r="P176">
        <v>0.36</v>
      </c>
      <c r="Q176">
        <v>0.19</v>
      </c>
    </row>
    <row r="177" spans="3:17">
      <c r="C177">
        <v>453.59199999999998</v>
      </c>
      <c r="D177">
        <v>0.90718399999999999</v>
      </c>
      <c r="E177">
        <v>8.9</v>
      </c>
      <c r="F177">
        <v>6.2595695999999998</v>
      </c>
      <c r="G177">
        <v>1.2246984000000001</v>
      </c>
      <c r="H177">
        <v>0.91625584000000004</v>
      </c>
      <c r="I177">
        <v>3.5380175999999999E-2</v>
      </c>
      <c r="J177">
        <v>1.9050864000000001E-2</v>
      </c>
      <c r="K177">
        <v>22.9</v>
      </c>
      <c r="L177">
        <v>60.2</v>
      </c>
      <c r="M177">
        <v>0.6</v>
      </c>
      <c r="N177">
        <v>0.34</v>
      </c>
      <c r="O177">
        <v>8.8000000000000007</v>
      </c>
      <c r="P177">
        <v>0.34</v>
      </c>
      <c r="Q177">
        <v>0.18</v>
      </c>
    </row>
    <row r="178" spans="3:17">
      <c r="C178">
        <v>498.95119999999997</v>
      </c>
      <c r="D178">
        <v>0.90718399999999999</v>
      </c>
      <c r="E178">
        <v>9.5</v>
      </c>
      <c r="F178">
        <v>6.7086256799999999</v>
      </c>
      <c r="G178">
        <v>1.360776</v>
      </c>
      <c r="H178">
        <v>0.94347135999999998</v>
      </c>
      <c r="I178">
        <v>3.5833768000000002E-2</v>
      </c>
      <c r="J178">
        <v>1.9958047999999999E-2</v>
      </c>
      <c r="K178">
        <v>24.6</v>
      </c>
      <c r="L178">
        <v>60.1</v>
      </c>
      <c r="M178">
        <v>0.6</v>
      </c>
      <c r="N178">
        <v>0.34</v>
      </c>
      <c r="O178">
        <v>8.4</v>
      </c>
      <c r="P178">
        <v>0.32</v>
      </c>
      <c r="Q178">
        <v>0.18</v>
      </c>
    </row>
    <row r="179" spans="3:17">
      <c r="C179">
        <v>544.31039999999996</v>
      </c>
      <c r="D179">
        <v>0.90718399999999999</v>
      </c>
      <c r="E179">
        <v>10.199999999999999</v>
      </c>
      <c r="F179">
        <v>7.1758254399999997</v>
      </c>
      <c r="G179">
        <v>1.4514944000000001</v>
      </c>
      <c r="H179">
        <v>0.96615095999999989</v>
      </c>
      <c r="I179">
        <v>3.6287359999999998E-2</v>
      </c>
      <c r="J179">
        <v>2.0411639999999998E-2</v>
      </c>
      <c r="K179">
        <v>26.3</v>
      </c>
      <c r="L179">
        <v>60.2</v>
      </c>
      <c r="M179">
        <v>0.6</v>
      </c>
      <c r="N179">
        <v>0.34</v>
      </c>
      <c r="O179">
        <v>8.1</v>
      </c>
      <c r="P179">
        <v>0.3</v>
      </c>
      <c r="Q179">
        <v>0.17</v>
      </c>
    </row>
    <row r="180" spans="3:17">
      <c r="C180">
        <v>589.66959999999995</v>
      </c>
      <c r="D180">
        <v>0.90718399999999999</v>
      </c>
      <c r="E180">
        <v>10.8</v>
      </c>
      <c r="F180">
        <v>7.6158096799999999</v>
      </c>
      <c r="G180">
        <v>1.5422127999999999</v>
      </c>
      <c r="H180">
        <v>0.99336647999999994</v>
      </c>
      <c r="I180">
        <v>3.6740952E-2</v>
      </c>
      <c r="J180">
        <v>2.1318824E-2</v>
      </c>
      <c r="K180">
        <v>27.9</v>
      </c>
      <c r="L180">
        <v>60.1</v>
      </c>
      <c r="M180">
        <v>0.6</v>
      </c>
      <c r="N180">
        <v>0.34</v>
      </c>
      <c r="O180">
        <v>7.8</v>
      </c>
      <c r="P180">
        <v>0.28999999999999998</v>
      </c>
      <c r="Q180">
        <v>0.17</v>
      </c>
    </row>
    <row r="181" spans="3:17">
      <c r="C181">
        <v>635.02880000000005</v>
      </c>
      <c r="D181">
        <v>0.90718399999999999</v>
      </c>
      <c r="E181">
        <v>11.4</v>
      </c>
      <c r="F181">
        <v>8.0467220799999986</v>
      </c>
      <c r="G181">
        <v>1.6329312</v>
      </c>
      <c r="H181">
        <v>1.0160460800000002</v>
      </c>
      <c r="I181">
        <v>3.7194544000000003E-2</v>
      </c>
      <c r="J181">
        <v>2.1772415999999999E-2</v>
      </c>
      <c r="K181">
        <v>29.5</v>
      </c>
      <c r="L181">
        <v>60.1</v>
      </c>
      <c r="M181">
        <v>0.6</v>
      </c>
      <c r="N181">
        <v>0.34</v>
      </c>
      <c r="O181">
        <v>7.6</v>
      </c>
      <c r="P181">
        <v>0.28000000000000003</v>
      </c>
      <c r="Q181">
        <v>0.16</v>
      </c>
    </row>
    <row r="182" spans="3:17">
      <c r="C182">
        <v>680.38800000000003</v>
      </c>
      <c r="D182">
        <v>0.90718399999999999</v>
      </c>
      <c r="E182">
        <v>12</v>
      </c>
      <c r="F182">
        <v>8.46856264</v>
      </c>
      <c r="G182">
        <v>1.7236495999999999</v>
      </c>
      <c r="H182">
        <v>1.03872568</v>
      </c>
      <c r="I182">
        <v>3.8101728000000001E-2</v>
      </c>
      <c r="J182">
        <v>2.2679600000000001E-2</v>
      </c>
      <c r="K182">
        <v>31.1</v>
      </c>
      <c r="L182">
        <v>60.1</v>
      </c>
      <c r="M182">
        <v>0.6</v>
      </c>
      <c r="N182">
        <v>0.34</v>
      </c>
      <c r="O182">
        <v>7.4</v>
      </c>
      <c r="P182">
        <v>0.27</v>
      </c>
      <c r="Q182">
        <v>0.16</v>
      </c>
    </row>
    <row r="183" spans="3:17">
      <c r="C183">
        <v>725.74720000000002</v>
      </c>
      <c r="D183">
        <v>0.90718399999999999</v>
      </c>
      <c r="E183">
        <v>12.6</v>
      </c>
      <c r="F183">
        <v>8.8904031999999997</v>
      </c>
      <c r="G183">
        <v>1.7690087999999999</v>
      </c>
      <c r="H183">
        <v>1.06140528</v>
      </c>
      <c r="I183">
        <v>3.8555320000000004E-2</v>
      </c>
      <c r="J183">
        <v>2.3133191999999997E-2</v>
      </c>
      <c r="K183">
        <v>32.6</v>
      </c>
      <c r="L183">
        <v>60.1</v>
      </c>
      <c r="M183">
        <v>0.6</v>
      </c>
      <c r="N183">
        <v>0.34</v>
      </c>
      <c r="O183">
        <v>7.2</v>
      </c>
      <c r="P183">
        <v>0.26</v>
      </c>
      <c r="Q183">
        <v>0.16</v>
      </c>
    </row>
    <row r="184" spans="3:17">
      <c r="C184">
        <v>771.10640000000001</v>
      </c>
      <c r="D184">
        <v>0.90718399999999999</v>
      </c>
      <c r="E184">
        <v>13.2</v>
      </c>
      <c r="F184">
        <v>9.3077078399999991</v>
      </c>
      <c r="G184">
        <v>1.8597271999999998</v>
      </c>
      <c r="H184">
        <v>1.08408488</v>
      </c>
      <c r="I184">
        <v>3.9008912E-2</v>
      </c>
      <c r="J184">
        <v>2.4040375999999999E-2</v>
      </c>
      <c r="K184">
        <v>34.1</v>
      </c>
      <c r="L184">
        <v>60.1</v>
      </c>
      <c r="M184">
        <v>0.6</v>
      </c>
      <c r="N184">
        <v>0.34</v>
      </c>
      <c r="O184">
        <v>7</v>
      </c>
      <c r="P184">
        <v>0.25</v>
      </c>
      <c r="Q184">
        <v>0.16</v>
      </c>
    </row>
    <row r="185" spans="3:17">
      <c r="C185">
        <v>816.46559999999999</v>
      </c>
      <c r="D185">
        <v>0.90718399999999999</v>
      </c>
      <c r="E185">
        <v>13.8</v>
      </c>
      <c r="F185">
        <v>9.7204765599999998</v>
      </c>
      <c r="G185">
        <v>1.9504455999999999</v>
      </c>
      <c r="H185">
        <v>1.1067644800000001</v>
      </c>
      <c r="I185">
        <v>3.9916095999999998E-2</v>
      </c>
      <c r="J185">
        <v>2.4947560000000001E-2</v>
      </c>
      <c r="K185">
        <v>35.6</v>
      </c>
      <c r="L185">
        <v>60.1</v>
      </c>
      <c r="M185">
        <v>0.6</v>
      </c>
      <c r="N185">
        <v>0.34</v>
      </c>
      <c r="O185">
        <v>6.9</v>
      </c>
      <c r="P185">
        <v>0.25</v>
      </c>
      <c r="Q185">
        <v>0.15</v>
      </c>
    </row>
    <row r="186" spans="3:17">
      <c r="C186">
        <v>408.2328</v>
      </c>
      <c r="D186">
        <v>1.13398</v>
      </c>
      <c r="E186">
        <v>8.1999999999999993</v>
      </c>
      <c r="F186">
        <v>6.08266872</v>
      </c>
      <c r="G186">
        <v>1.4514944000000001</v>
      </c>
      <c r="H186">
        <v>0.98429464</v>
      </c>
      <c r="I186">
        <v>4.0369688000000001E-2</v>
      </c>
      <c r="J186">
        <v>2.0411639999999998E-2</v>
      </c>
      <c r="K186">
        <v>21.2</v>
      </c>
      <c r="L186">
        <v>63.3</v>
      </c>
      <c r="M186">
        <v>0.64</v>
      </c>
      <c r="N186">
        <v>0.38</v>
      </c>
      <c r="O186">
        <v>10.199999999999999</v>
      </c>
      <c r="P186">
        <v>0.42</v>
      </c>
      <c r="Q186">
        <v>0.21</v>
      </c>
    </row>
    <row r="187" spans="3:17">
      <c r="C187">
        <v>453.59199999999998</v>
      </c>
      <c r="D187">
        <v>1.13398</v>
      </c>
      <c r="E187">
        <v>8.9</v>
      </c>
      <c r="F187">
        <v>6.58615584</v>
      </c>
      <c r="G187">
        <v>1.587572</v>
      </c>
      <c r="H187">
        <v>1.00243832</v>
      </c>
      <c r="I187">
        <v>4.0369688000000001E-2</v>
      </c>
      <c r="J187">
        <v>2.1318824E-2</v>
      </c>
      <c r="K187">
        <v>22.9</v>
      </c>
      <c r="L187">
        <v>63.3</v>
      </c>
      <c r="M187">
        <v>0.65</v>
      </c>
      <c r="N187">
        <v>0.38</v>
      </c>
      <c r="O187">
        <v>9.6999999999999993</v>
      </c>
      <c r="P187">
        <v>0.39</v>
      </c>
      <c r="Q187">
        <v>0.2</v>
      </c>
    </row>
    <row r="188" spans="3:17">
      <c r="C188">
        <v>498.95119999999997</v>
      </c>
      <c r="D188">
        <v>1.13398</v>
      </c>
      <c r="E188">
        <v>9.5</v>
      </c>
      <c r="F188">
        <v>7.0578915200000001</v>
      </c>
      <c r="G188">
        <v>1.6782904000000001</v>
      </c>
      <c r="H188">
        <v>1.0251179199999998</v>
      </c>
      <c r="I188">
        <v>4.0823279999999997E-2</v>
      </c>
      <c r="J188">
        <v>2.1772415999999999E-2</v>
      </c>
      <c r="K188">
        <v>24.6</v>
      </c>
      <c r="L188">
        <v>63.2</v>
      </c>
      <c r="M188">
        <v>0.64</v>
      </c>
      <c r="N188">
        <v>0.38</v>
      </c>
      <c r="O188">
        <v>9.1999999999999993</v>
      </c>
      <c r="P188">
        <v>0.36</v>
      </c>
      <c r="Q188">
        <v>0.19</v>
      </c>
    </row>
    <row r="189" spans="3:17">
      <c r="C189">
        <v>544.31039999999996</v>
      </c>
      <c r="D189">
        <v>1.13398</v>
      </c>
      <c r="E189">
        <v>10.199999999999999</v>
      </c>
      <c r="F189">
        <v>7.5523067999999993</v>
      </c>
      <c r="G189">
        <v>1.814368</v>
      </c>
      <c r="H189">
        <v>1.04779752</v>
      </c>
      <c r="I189">
        <v>4.0823279999999997E-2</v>
      </c>
      <c r="J189">
        <v>2.2226008000000002E-2</v>
      </c>
      <c r="K189">
        <v>26.3</v>
      </c>
      <c r="L189">
        <v>63.3</v>
      </c>
      <c r="M189">
        <v>0.65</v>
      </c>
      <c r="N189">
        <v>0.38</v>
      </c>
      <c r="O189">
        <v>8.8000000000000007</v>
      </c>
      <c r="P189">
        <v>0.34</v>
      </c>
      <c r="Q189">
        <v>0.19</v>
      </c>
    </row>
    <row r="190" spans="3:17">
      <c r="C190">
        <v>589.66959999999995</v>
      </c>
      <c r="D190">
        <v>1.13398</v>
      </c>
      <c r="E190">
        <v>10.8</v>
      </c>
      <c r="F190">
        <v>8.0104347199999992</v>
      </c>
      <c r="G190">
        <v>1.9050864000000001</v>
      </c>
      <c r="H190">
        <v>1.0659411999999999</v>
      </c>
      <c r="I190">
        <v>4.1276871999999999E-2</v>
      </c>
      <c r="J190">
        <v>2.3133191999999997E-2</v>
      </c>
      <c r="K190">
        <v>27.9</v>
      </c>
      <c r="L190">
        <v>63.3</v>
      </c>
      <c r="M190">
        <v>0.64</v>
      </c>
      <c r="N190">
        <v>0.38</v>
      </c>
      <c r="O190">
        <v>8.4</v>
      </c>
      <c r="P190">
        <v>0.33</v>
      </c>
      <c r="Q190">
        <v>0.18</v>
      </c>
    </row>
    <row r="191" spans="3:17">
      <c r="C191">
        <v>635.02880000000005</v>
      </c>
      <c r="D191">
        <v>1.13398</v>
      </c>
      <c r="E191">
        <v>11.4</v>
      </c>
      <c r="F191">
        <v>8.4640267199999997</v>
      </c>
      <c r="G191">
        <v>1.9958048000000002</v>
      </c>
      <c r="H191">
        <v>1.0886207999999999</v>
      </c>
      <c r="I191">
        <v>4.1730464000000002E-2</v>
      </c>
      <c r="J191">
        <v>2.3586784E-2</v>
      </c>
      <c r="K191">
        <v>29.5</v>
      </c>
      <c r="L191">
        <v>63.2</v>
      </c>
      <c r="M191">
        <v>0.64</v>
      </c>
      <c r="N191">
        <v>0.38</v>
      </c>
      <c r="O191">
        <v>8.1</v>
      </c>
      <c r="P191">
        <v>0.31</v>
      </c>
      <c r="Q191">
        <v>0.18</v>
      </c>
    </row>
    <row r="192" spans="3:17">
      <c r="C192">
        <v>680.38800000000003</v>
      </c>
      <c r="D192">
        <v>1.13398</v>
      </c>
      <c r="E192">
        <v>12</v>
      </c>
      <c r="F192">
        <v>8.9085468799999994</v>
      </c>
      <c r="G192">
        <v>2.1318823999999998</v>
      </c>
      <c r="H192">
        <v>1.1067644800000001</v>
      </c>
      <c r="I192">
        <v>4.2184055999999998E-2</v>
      </c>
      <c r="J192">
        <v>2.4040375999999999E-2</v>
      </c>
      <c r="K192">
        <v>31.1</v>
      </c>
      <c r="L192">
        <v>63.2</v>
      </c>
      <c r="M192">
        <v>0.64</v>
      </c>
      <c r="N192">
        <v>0.38</v>
      </c>
      <c r="O192">
        <v>7.9</v>
      </c>
      <c r="P192">
        <v>0.3</v>
      </c>
      <c r="Q192">
        <v>0.17</v>
      </c>
    </row>
    <row r="193" spans="3:17">
      <c r="C193">
        <v>725.74720000000002</v>
      </c>
      <c r="D193">
        <v>1.13398</v>
      </c>
      <c r="E193">
        <v>12.6</v>
      </c>
      <c r="F193">
        <v>9.3576029599999995</v>
      </c>
      <c r="G193">
        <v>2.2226007999999999</v>
      </c>
      <c r="H193">
        <v>1.1294440800000001</v>
      </c>
      <c r="I193">
        <v>4.2184055999999998E-2</v>
      </c>
      <c r="J193">
        <v>2.4947560000000001E-2</v>
      </c>
      <c r="K193">
        <v>32.6</v>
      </c>
      <c r="L193">
        <v>63.2</v>
      </c>
      <c r="M193">
        <v>0.64</v>
      </c>
      <c r="N193">
        <v>0.38</v>
      </c>
      <c r="O193">
        <v>7.6</v>
      </c>
      <c r="P193">
        <v>0.28999999999999998</v>
      </c>
      <c r="Q193">
        <v>0.17</v>
      </c>
    </row>
    <row r="194" spans="3:17">
      <c r="C194">
        <v>771.10640000000001</v>
      </c>
      <c r="D194">
        <v>1.13398</v>
      </c>
      <c r="E194">
        <v>13.2</v>
      </c>
      <c r="F194">
        <v>9.7930512800000002</v>
      </c>
      <c r="G194">
        <v>2.3133192</v>
      </c>
      <c r="H194">
        <v>1.14758776</v>
      </c>
      <c r="I194">
        <v>4.2637648E-2</v>
      </c>
      <c r="J194">
        <v>2.5401152E-2</v>
      </c>
      <c r="K194">
        <v>34.1</v>
      </c>
      <c r="L194">
        <v>63.2</v>
      </c>
      <c r="M194">
        <v>0.64</v>
      </c>
      <c r="N194">
        <v>0.38</v>
      </c>
      <c r="O194">
        <v>7.4</v>
      </c>
      <c r="P194">
        <v>0.28000000000000003</v>
      </c>
      <c r="Q194">
        <v>0.16</v>
      </c>
    </row>
    <row r="195" spans="3:17">
      <c r="C195">
        <v>816.46559999999999</v>
      </c>
      <c r="D195">
        <v>1.13398</v>
      </c>
      <c r="E195">
        <v>13.8</v>
      </c>
      <c r="F195">
        <v>10.228499600000001</v>
      </c>
      <c r="G195">
        <v>2.4040376000000001</v>
      </c>
      <c r="H195">
        <v>1.1657314399999998</v>
      </c>
      <c r="I195">
        <v>4.3091240000000003E-2</v>
      </c>
      <c r="J195">
        <v>2.6308336000000002E-2</v>
      </c>
      <c r="K195">
        <v>35.6</v>
      </c>
      <c r="L195">
        <v>63.3</v>
      </c>
      <c r="M195">
        <v>0.64</v>
      </c>
      <c r="N195">
        <v>0.38</v>
      </c>
      <c r="O195">
        <v>7.2</v>
      </c>
      <c r="P195">
        <v>0.27</v>
      </c>
      <c r="Q195">
        <v>0.16</v>
      </c>
    </row>
    <row r="196" spans="3:17">
      <c r="C196">
        <v>408.2328</v>
      </c>
      <c r="D196">
        <v>1.360776</v>
      </c>
      <c r="E196">
        <v>8.1999999999999993</v>
      </c>
      <c r="F196">
        <v>6.3684316799999996</v>
      </c>
      <c r="G196">
        <v>1.7690087999999999</v>
      </c>
      <c r="H196">
        <v>1.07501304</v>
      </c>
      <c r="I196">
        <v>4.5359200000000002E-2</v>
      </c>
      <c r="J196">
        <v>2.2679600000000001E-2</v>
      </c>
      <c r="K196">
        <v>21.1</v>
      </c>
      <c r="L196">
        <v>66.599999999999994</v>
      </c>
      <c r="M196">
        <v>0.69</v>
      </c>
      <c r="N196">
        <v>0.42</v>
      </c>
      <c r="O196">
        <v>11.2</v>
      </c>
      <c r="P196">
        <v>0.48</v>
      </c>
      <c r="Q196">
        <v>0.24</v>
      </c>
    </row>
    <row r="197" spans="3:17">
      <c r="C197">
        <v>453.59199999999998</v>
      </c>
      <c r="D197">
        <v>1.360776</v>
      </c>
      <c r="E197">
        <v>8.9</v>
      </c>
      <c r="F197">
        <v>6.8945983999999996</v>
      </c>
      <c r="G197">
        <v>1.9050864000000001</v>
      </c>
      <c r="H197">
        <v>1.0931567200000001</v>
      </c>
      <c r="I197">
        <v>4.5359200000000002E-2</v>
      </c>
      <c r="J197">
        <v>2.3133191999999997E-2</v>
      </c>
      <c r="K197">
        <v>22.8</v>
      </c>
      <c r="L197">
        <v>66.7</v>
      </c>
      <c r="M197">
        <v>0.69</v>
      </c>
      <c r="N197">
        <v>0.42</v>
      </c>
      <c r="O197">
        <v>10.6</v>
      </c>
      <c r="P197">
        <v>0.44</v>
      </c>
      <c r="Q197">
        <v>0.22</v>
      </c>
    </row>
    <row r="198" spans="3:17">
      <c r="C198">
        <v>498.95119999999997</v>
      </c>
      <c r="D198">
        <v>1.360776</v>
      </c>
      <c r="E198">
        <v>9.5</v>
      </c>
      <c r="F198">
        <v>7.3890136799999997</v>
      </c>
      <c r="G198">
        <v>2.0411640000000002</v>
      </c>
      <c r="H198">
        <v>1.1113004</v>
      </c>
      <c r="I198">
        <v>4.5359200000000002E-2</v>
      </c>
      <c r="J198">
        <v>2.3586784E-2</v>
      </c>
      <c r="K198">
        <v>24.5</v>
      </c>
      <c r="L198">
        <v>66.5</v>
      </c>
      <c r="M198">
        <v>0.69</v>
      </c>
      <c r="N198">
        <v>0.42</v>
      </c>
      <c r="O198">
        <v>10</v>
      </c>
      <c r="P198">
        <v>0.41</v>
      </c>
      <c r="Q198">
        <v>0.21</v>
      </c>
    </row>
    <row r="199" spans="3:17">
      <c r="C199">
        <v>544.31039999999996</v>
      </c>
      <c r="D199">
        <v>1.360776</v>
      </c>
      <c r="E199">
        <v>10.199999999999999</v>
      </c>
      <c r="F199">
        <v>7.9061085599999998</v>
      </c>
      <c r="G199">
        <v>2.1772415999999999</v>
      </c>
      <c r="H199">
        <v>1.1249081599999999</v>
      </c>
      <c r="I199">
        <v>4.5359200000000002E-2</v>
      </c>
      <c r="J199">
        <v>2.4040375999999999E-2</v>
      </c>
      <c r="K199">
        <v>26.1</v>
      </c>
      <c r="L199">
        <v>66.7</v>
      </c>
      <c r="M199">
        <v>0.69</v>
      </c>
      <c r="N199">
        <v>0.42</v>
      </c>
      <c r="O199">
        <v>9.5</v>
      </c>
      <c r="P199">
        <v>0.38</v>
      </c>
      <c r="Q199">
        <v>0.2</v>
      </c>
    </row>
    <row r="200" spans="3:17">
      <c r="C200">
        <v>589.66959999999995</v>
      </c>
      <c r="D200">
        <v>1.360776</v>
      </c>
      <c r="E200">
        <v>10.8</v>
      </c>
      <c r="F200">
        <v>8.3869160799999989</v>
      </c>
      <c r="G200">
        <v>2.3133192</v>
      </c>
      <c r="H200">
        <v>1.14305184</v>
      </c>
      <c r="I200">
        <v>4.5812792000000005E-2</v>
      </c>
      <c r="J200">
        <v>2.4947560000000001E-2</v>
      </c>
      <c r="K200">
        <v>27.7</v>
      </c>
      <c r="L200">
        <v>66.599999999999994</v>
      </c>
      <c r="M200">
        <v>0.69</v>
      </c>
      <c r="N200">
        <v>0.42</v>
      </c>
      <c r="O200">
        <v>9.1</v>
      </c>
      <c r="P200">
        <v>0.36</v>
      </c>
      <c r="Q200">
        <v>0.2</v>
      </c>
    </row>
    <row r="201" spans="3:17">
      <c r="C201">
        <v>635.02880000000005</v>
      </c>
      <c r="D201">
        <v>1.360776</v>
      </c>
      <c r="E201">
        <v>11.4</v>
      </c>
      <c r="F201">
        <v>8.8631876799999993</v>
      </c>
      <c r="G201">
        <v>2.4493968000000002</v>
      </c>
      <c r="H201">
        <v>1.1611955199999999</v>
      </c>
      <c r="I201">
        <v>4.5812792000000005E-2</v>
      </c>
      <c r="J201">
        <v>2.5401152E-2</v>
      </c>
      <c r="K201">
        <v>29.3</v>
      </c>
      <c r="L201">
        <v>66.599999999999994</v>
      </c>
      <c r="M201">
        <v>0.69</v>
      </c>
      <c r="N201">
        <v>0.42</v>
      </c>
      <c r="O201">
        <v>8.6999999999999993</v>
      </c>
      <c r="P201">
        <v>0.34</v>
      </c>
      <c r="Q201">
        <v>0.19</v>
      </c>
    </row>
    <row r="202" spans="3:17">
      <c r="C202">
        <v>680.38800000000003</v>
      </c>
      <c r="D202">
        <v>1.360776</v>
      </c>
      <c r="E202">
        <v>12</v>
      </c>
      <c r="F202">
        <v>9.3349233599999994</v>
      </c>
      <c r="G202">
        <v>2.5854743999999998</v>
      </c>
      <c r="H202">
        <v>1.1748032799999999</v>
      </c>
      <c r="I202">
        <v>4.5812792000000005E-2</v>
      </c>
      <c r="J202">
        <v>2.5854743999999999E-2</v>
      </c>
      <c r="K202">
        <v>30.9</v>
      </c>
      <c r="L202">
        <v>66.599999999999994</v>
      </c>
      <c r="M202">
        <v>0.69</v>
      </c>
      <c r="N202">
        <v>0.42</v>
      </c>
      <c r="O202">
        <v>8.4</v>
      </c>
      <c r="P202">
        <v>0.33</v>
      </c>
      <c r="Q202">
        <v>0.18</v>
      </c>
    </row>
    <row r="203" spans="3:17">
      <c r="C203">
        <v>725.74720000000002</v>
      </c>
      <c r="D203">
        <v>1.360776</v>
      </c>
      <c r="E203">
        <v>12.6</v>
      </c>
      <c r="F203">
        <v>9.7930512800000002</v>
      </c>
      <c r="G203">
        <v>2.6761927999999999</v>
      </c>
      <c r="H203">
        <v>1.19294696</v>
      </c>
      <c r="I203">
        <v>4.6266383999999994E-2</v>
      </c>
      <c r="J203">
        <v>2.6308336000000002E-2</v>
      </c>
      <c r="K203">
        <v>32.4</v>
      </c>
      <c r="L203">
        <v>66.599999999999994</v>
      </c>
      <c r="M203">
        <v>0.69</v>
      </c>
      <c r="N203">
        <v>0.42</v>
      </c>
      <c r="O203">
        <v>8.1</v>
      </c>
      <c r="P203">
        <v>0.31</v>
      </c>
      <c r="Q203">
        <v>0.18</v>
      </c>
    </row>
    <row r="204" spans="3:17">
      <c r="C204">
        <v>771.10640000000001</v>
      </c>
      <c r="D204">
        <v>1.360776</v>
      </c>
      <c r="E204">
        <v>13.2</v>
      </c>
      <c r="F204">
        <v>10.25571512</v>
      </c>
      <c r="G204">
        <v>2.8122704000000001</v>
      </c>
      <c r="H204">
        <v>1.20655472</v>
      </c>
      <c r="I204">
        <v>4.6266383999999994E-2</v>
      </c>
      <c r="J204">
        <v>2.6761927999999997E-2</v>
      </c>
      <c r="K204">
        <v>33.9</v>
      </c>
      <c r="L204">
        <v>66.599999999999994</v>
      </c>
      <c r="M204">
        <v>0.69</v>
      </c>
      <c r="N204">
        <v>0.42</v>
      </c>
      <c r="O204">
        <v>7.8</v>
      </c>
      <c r="P204">
        <v>0.3</v>
      </c>
      <c r="Q204">
        <v>0.17</v>
      </c>
    </row>
    <row r="205" spans="3:17">
      <c r="C205">
        <v>816.46559999999999</v>
      </c>
      <c r="D205">
        <v>1.360776</v>
      </c>
      <c r="E205">
        <v>13.8</v>
      </c>
      <c r="F205">
        <v>10.70930712</v>
      </c>
      <c r="G205">
        <v>2.9483480000000002</v>
      </c>
      <c r="H205">
        <v>1.2246984000000001</v>
      </c>
      <c r="I205">
        <v>4.6266383999999994E-2</v>
      </c>
      <c r="J205">
        <v>2.7669111999999999E-2</v>
      </c>
      <c r="K205">
        <v>35.4</v>
      </c>
      <c r="L205">
        <v>66.7</v>
      </c>
      <c r="M205">
        <v>0.69</v>
      </c>
      <c r="N205">
        <v>0.42</v>
      </c>
      <c r="O205">
        <v>7.6</v>
      </c>
      <c r="P205">
        <v>0.28999999999999998</v>
      </c>
      <c r="Q205">
        <v>0.17</v>
      </c>
    </row>
    <row r="206" spans="3:17">
      <c r="C206">
        <v>408.2328</v>
      </c>
      <c r="D206">
        <v>1.587572</v>
      </c>
      <c r="E206">
        <v>8.1999999999999993</v>
      </c>
      <c r="F206">
        <v>6.6405868799999999</v>
      </c>
      <c r="G206">
        <v>2.0865231999999998</v>
      </c>
      <c r="H206">
        <v>1.1657314399999998</v>
      </c>
      <c r="I206">
        <v>5.0802304E-2</v>
      </c>
      <c r="J206">
        <v>2.4947560000000001E-2</v>
      </c>
      <c r="K206">
        <v>20.8</v>
      </c>
      <c r="L206">
        <v>70.400000000000006</v>
      </c>
      <c r="M206">
        <v>0.75</v>
      </c>
      <c r="N206">
        <v>0.47</v>
      </c>
      <c r="O206">
        <v>12.3</v>
      </c>
      <c r="P206">
        <v>0.54</v>
      </c>
      <c r="Q206">
        <v>0.26</v>
      </c>
    </row>
    <row r="207" spans="3:17">
      <c r="C207">
        <v>453.59199999999998</v>
      </c>
      <c r="D207">
        <v>1.587572</v>
      </c>
      <c r="E207">
        <v>8.9</v>
      </c>
      <c r="F207">
        <v>7.1894331999999999</v>
      </c>
      <c r="G207">
        <v>2.26796</v>
      </c>
      <c r="H207">
        <v>1.1793392</v>
      </c>
      <c r="I207">
        <v>5.0348711999999997E-2</v>
      </c>
      <c r="J207">
        <v>2.5401152E-2</v>
      </c>
      <c r="K207">
        <v>22.5</v>
      </c>
      <c r="L207">
        <v>70.400000000000006</v>
      </c>
      <c r="M207">
        <v>0.75</v>
      </c>
      <c r="N207">
        <v>0.47</v>
      </c>
      <c r="O207">
        <v>11.5</v>
      </c>
      <c r="P207">
        <v>0.49</v>
      </c>
      <c r="Q207">
        <v>0.25</v>
      </c>
    </row>
    <row r="208" spans="3:17">
      <c r="C208">
        <v>498.95119999999997</v>
      </c>
      <c r="D208">
        <v>1.587572</v>
      </c>
      <c r="E208">
        <v>9.5</v>
      </c>
      <c r="F208">
        <v>7.7110640000000004</v>
      </c>
      <c r="G208">
        <v>2.4493968000000002</v>
      </c>
      <c r="H208">
        <v>1.19294696</v>
      </c>
      <c r="I208">
        <v>5.0348711999999997E-2</v>
      </c>
      <c r="J208">
        <v>2.5854743999999999E-2</v>
      </c>
      <c r="K208">
        <v>24.2</v>
      </c>
      <c r="L208">
        <v>70.3</v>
      </c>
      <c r="M208">
        <v>0.75</v>
      </c>
      <c r="N208">
        <v>0.47</v>
      </c>
      <c r="O208">
        <v>10.9</v>
      </c>
      <c r="P208">
        <v>0.46</v>
      </c>
      <c r="Q208">
        <v>0.23</v>
      </c>
    </row>
    <row r="209" spans="1:17">
      <c r="C209">
        <v>544.31039999999996</v>
      </c>
      <c r="D209">
        <v>1.587572</v>
      </c>
      <c r="E209">
        <v>10.199999999999999</v>
      </c>
      <c r="F209">
        <v>8.2463025600000002</v>
      </c>
      <c r="G209">
        <v>2.5854743999999998</v>
      </c>
      <c r="H209">
        <v>1.20655472</v>
      </c>
      <c r="I209">
        <v>5.0348711999999997E-2</v>
      </c>
      <c r="J209">
        <v>2.5854743999999999E-2</v>
      </c>
      <c r="K209">
        <v>25.8</v>
      </c>
      <c r="L209">
        <v>70.400000000000006</v>
      </c>
      <c r="M209">
        <v>0.75</v>
      </c>
      <c r="N209">
        <v>0.47</v>
      </c>
      <c r="O209">
        <v>10.3</v>
      </c>
      <c r="P209">
        <v>0.43</v>
      </c>
      <c r="Q209">
        <v>0.22</v>
      </c>
    </row>
    <row r="210" spans="1:17">
      <c r="C210">
        <v>589.66959999999995</v>
      </c>
      <c r="D210">
        <v>1.587572</v>
      </c>
      <c r="E210">
        <v>10.8</v>
      </c>
      <c r="F210">
        <v>8.7452537600000007</v>
      </c>
      <c r="G210">
        <v>2.7669112</v>
      </c>
      <c r="H210">
        <v>1.2201624799999999</v>
      </c>
      <c r="I210">
        <v>4.9895120000000001E-2</v>
      </c>
      <c r="J210">
        <v>2.6308336000000002E-2</v>
      </c>
      <c r="K210">
        <v>27.4</v>
      </c>
      <c r="L210">
        <v>70.3</v>
      </c>
      <c r="M210">
        <v>0.75</v>
      </c>
      <c r="N210">
        <v>0.47</v>
      </c>
      <c r="O210">
        <v>9.8000000000000007</v>
      </c>
      <c r="P210">
        <v>0.4</v>
      </c>
      <c r="Q210">
        <v>0.21</v>
      </c>
    </row>
    <row r="211" spans="1:17">
      <c r="C211">
        <v>635.02880000000005</v>
      </c>
      <c r="D211">
        <v>1.587572</v>
      </c>
      <c r="E211">
        <v>11.4</v>
      </c>
      <c r="F211">
        <v>9.2396690400000008</v>
      </c>
      <c r="G211">
        <v>2.9483480000000002</v>
      </c>
      <c r="H211">
        <v>1.22923432</v>
      </c>
      <c r="I211">
        <v>4.9895120000000001E-2</v>
      </c>
      <c r="J211">
        <v>2.6761927999999997E-2</v>
      </c>
      <c r="K211">
        <v>29</v>
      </c>
      <c r="L211">
        <v>70.3</v>
      </c>
      <c r="M211">
        <v>0.75</v>
      </c>
      <c r="N211">
        <v>0.47</v>
      </c>
      <c r="O211">
        <v>9.4</v>
      </c>
      <c r="P211">
        <v>0.38</v>
      </c>
      <c r="Q211">
        <v>0.2</v>
      </c>
    </row>
    <row r="212" spans="1:17">
      <c r="C212">
        <v>680.38800000000003</v>
      </c>
      <c r="D212">
        <v>1.587572</v>
      </c>
      <c r="E212">
        <v>12</v>
      </c>
      <c r="F212">
        <v>9.7295483999999988</v>
      </c>
      <c r="G212">
        <v>3.0844255999999999</v>
      </c>
      <c r="H212">
        <v>1.2428420800000002</v>
      </c>
      <c r="I212">
        <v>4.9895120000000001E-2</v>
      </c>
      <c r="J212">
        <v>2.721552E-2</v>
      </c>
      <c r="K212">
        <v>30.5</v>
      </c>
      <c r="L212">
        <v>70.3</v>
      </c>
      <c r="M212">
        <v>0.75</v>
      </c>
      <c r="N212">
        <v>0.47</v>
      </c>
      <c r="O212">
        <v>9</v>
      </c>
      <c r="P212">
        <v>0.36</v>
      </c>
      <c r="Q212">
        <v>0.2</v>
      </c>
    </row>
    <row r="213" spans="1:17">
      <c r="C213">
        <v>725.74720000000002</v>
      </c>
      <c r="D213">
        <v>1.587572</v>
      </c>
      <c r="E213">
        <v>12.6</v>
      </c>
      <c r="F213">
        <v>10.21489184</v>
      </c>
      <c r="G213">
        <v>3.2205032</v>
      </c>
      <c r="H213">
        <v>1.2564498399999999</v>
      </c>
      <c r="I213">
        <v>4.9895120000000001E-2</v>
      </c>
      <c r="J213">
        <v>2.7669111999999999E-2</v>
      </c>
      <c r="K213">
        <v>32</v>
      </c>
      <c r="L213">
        <v>70.3</v>
      </c>
      <c r="M213">
        <v>0.75</v>
      </c>
      <c r="N213">
        <v>0.47</v>
      </c>
      <c r="O213">
        <v>8.6</v>
      </c>
      <c r="P213">
        <v>0.34</v>
      </c>
      <c r="Q213">
        <v>0.19</v>
      </c>
    </row>
    <row r="214" spans="1:17">
      <c r="C214">
        <v>771.10640000000001</v>
      </c>
      <c r="D214">
        <v>1.587572</v>
      </c>
      <c r="E214">
        <v>13.2</v>
      </c>
      <c r="F214">
        <v>10.69116344</v>
      </c>
      <c r="G214">
        <v>3.4019399999999997</v>
      </c>
      <c r="H214">
        <v>1.26552168</v>
      </c>
      <c r="I214">
        <v>4.9895120000000001E-2</v>
      </c>
      <c r="J214">
        <v>2.8122703999999998E-2</v>
      </c>
      <c r="K214">
        <v>33.5</v>
      </c>
      <c r="L214">
        <v>70.3</v>
      </c>
      <c r="M214">
        <v>0.75</v>
      </c>
      <c r="N214">
        <v>0.47</v>
      </c>
      <c r="O214">
        <v>8.3000000000000007</v>
      </c>
      <c r="P214">
        <v>0.33</v>
      </c>
      <c r="Q214">
        <v>0.19</v>
      </c>
    </row>
    <row r="215" spans="1:17">
      <c r="C215">
        <v>816.46559999999999</v>
      </c>
      <c r="D215">
        <v>1.587572</v>
      </c>
      <c r="E215">
        <v>13.8</v>
      </c>
      <c r="F215">
        <v>11.167435040000001</v>
      </c>
      <c r="G215">
        <v>3.5380175999999999</v>
      </c>
      <c r="H215">
        <v>1.27912944</v>
      </c>
      <c r="I215">
        <v>4.9895120000000001E-2</v>
      </c>
      <c r="J215">
        <v>2.8576296000000001E-2</v>
      </c>
      <c r="K215">
        <v>35</v>
      </c>
      <c r="L215">
        <v>70.400000000000006</v>
      </c>
      <c r="M215">
        <v>0.75</v>
      </c>
      <c r="N215">
        <v>0.47</v>
      </c>
      <c r="O215">
        <v>8.1</v>
      </c>
      <c r="P215">
        <v>0.31</v>
      </c>
      <c r="Q215">
        <v>0.18</v>
      </c>
    </row>
    <row r="216" spans="1:17">
      <c r="F216">
        <v>0</v>
      </c>
      <c r="G216">
        <v>0</v>
      </c>
      <c r="H216">
        <v>0</v>
      </c>
      <c r="I216">
        <v>0</v>
      </c>
      <c r="J216">
        <v>0</v>
      </c>
    </row>
    <row r="217" spans="1:17">
      <c r="F217" t="e">
        <v>#VALUE!</v>
      </c>
      <c r="G217">
        <v>0</v>
      </c>
      <c r="H217">
        <v>0</v>
      </c>
      <c r="I217">
        <v>0</v>
      </c>
      <c r="J217">
        <v>0</v>
      </c>
      <c r="K217" t="s">
        <v>21</v>
      </c>
    </row>
    <row r="218" spans="1:17">
      <c r="A218" t="s">
        <v>72</v>
      </c>
      <c r="C218" t="s">
        <v>121</v>
      </c>
      <c r="D218" t="s">
        <v>124</v>
      </c>
      <c r="E218" t="s">
        <v>23</v>
      </c>
      <c r="F218" t="s">
        <v>116</v>
      </c>
      <c r="G218" t="s">
        <v>117</v>
      </c>
      <c r="H218" t="s">
        <v>118</v>
      </c>
      <c r="I218" t="s">
        <v>119</v>
      </c>
      <c r="J218" t="s">
        <v>120</v>
      </c>
      <c r="K218" t="s">
        <v>15</v>
      </c>
      <c r="L218" t="s">
        <v>16</v>
      </c>
      <c r="M218" t="s">
        <v>17</v>
      </c>
      <c r="N218" t="s">
        <v>24</v>
      </c>
      <c r="O218" t="s">
        <v>18</v>
      </c>
      <c r="P218" t="s">
        <v>19</v>
      </c>
      <c r="Q218" t="s">
        <v>20</v>
      </c>
    </row>
    <row r="219" spans="1:17">
      <c r="C219">
        <v>816.46559999999999</v>
      </c>
      <c r="E219">
        <v>13.8</v>
      </c>
      <c r="F219">
        <v>7.2574719999999999</v>
      </c>
      <c r="G219">
        <v>0</v>
      </c>
      <c r="H219">
        <v>0.84368112000000006</v>
      </c>
      <c r="I219">
        <v>2.4040375999999999E-2</v>
      </c>
      <c r="J219">
        <v>1.8597272000000001E-2</v>
      </c>
      <c r="K219">
        <v>32.700000000000003</v>
      </c>
      <c r="L219">
        <v>48.9</v>
      </c>
      <c r="M219">
        <v>0.42</v>
      </c>
      <c r="N219">
        <v>0.18</v>
      </c>
      <c r="O219">
        <v>5.7</v>
      </c>
      <c r="P219">
        <v>0.16</v>
      </c>
      <c r="Q219">
        <v>0.12</v>
      </c>
    </row>
    <row r="220" spans="1:17">
      <c r="C220">
        <v>997.90239999999994</v>
      </c>
      <c r="E220">
        <v>16</v>
      </c>
      <c r="F220">
        <v>8.4368112000000011</v>
      </c>
      <c r="G220">
        <v>0</v>
      </c>
      <c r="H220">
        <v>0.97975872000000008</v>
      </c>
      <c r="I220">
        <v>2.9483479999999999E-2</v>
      </c>
      <c r="J220">
        <v>2.2679600000000001E-2</v>
      </c>
      <c r="K220">
        <v>38</v>
      </c>
      <c r="L220">
        <v>48.9</v>
      </c>
      <c r="M220">
        <v>0.42</v>
      </c>
      <c r="N220">
        <v>0.18</v>
      </c>
      <c r="O220">
        <v>5.7</v>
      </c>
      <c r="P220">
        <v>0.17</v>
      </c>
      <c r="Q220">
        <v>0.13</v>
      </c>
    </row>
    <row r="279" spans="5:12">
      <c r="E279" t="s">
        <v>45</v>
      </c>
    </row>
    <row r="280" spans="5:12">
      <c r="E280" t="s">
        <v>50</v>
      </c>
      <c r="K280" t="s">
        <v>55</v>
      </c>
      <c r="L280" t="s">
        <v>56</v>
      </c>
    </row>
    <row r="281" spans="5:12">
      <c r="E281">
        <v>1</v>
      </c>
    </row>
    <row r="282" spans="5:12">
      <c r="E282">
        <v>2</v>
      </c>
    </row>
    <row r="283" spans="5:12">
      <c r="E283">
        <v>3</v>
      </c>
    </row>
    <row r="284" spans="5:12">
      <c r="E284">
        <v>4</v>
      </c>
    </row>
    <row r="285" spans="5:12">
      <c r="E285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D3A2F-29AE-5749-A1F9-5BECBA249C58}">
  <dimension ref="A1:K36"/>
  <sheetViews>
    <sheetView topLeftCell="A12" zoomScale="163" workbookViewId="0">
      <selection activeCell="A10" sqref="A10"/>
    </sheetView>
  </sheetViews>
  <sheetFormatPr baseColWidth="10" defaultRowHeight="12"/>
  <cols>
    <col min="1" max="1" width="25.6640625" style="1" customWidth="1"/>
    <col min="2" max="11" width="11.5" style="2" customWidth="1"/>
    <col min="12" max="16384" width="10.83203125" style="1"/>
  </cols>
  <sheetData>
    <row r="1" spans="1:11" ht="26">
      <c r="B1" s="14" t="s">
        <v>73</v>
      </c>
      <c r="C1" s="14" t="s">
        <v>74</v>
      </c>
      <c r="D1" s="14" t="s">
        <v>75</v>
      </c>
      <c r="E1" s="14" t="s">
        <v>76</v>
      </c>
      <c r="F1" s="14" t="s">
        <v>77</v>
      </c>
      <c r="G1" s="14" t="s">
        <v>78</v>
      </c>
      <c r="H1" s="14" t="s">
        <v>79</v>
      </c>
      <c r="I1" s="14" t="s">
        <v>80</v>
      </c>
      <c r="J1" s="14" t="s">
        <v>81</v>
      </c>
      <c r="K1" s="14" t="s">
        <v>82</v>
      </c>
    </row>
    <row r="2" spans="1:11">
      <c r="A2" s="1" t="s">
        <v>83</v>
      </c>
      <c r="B2" s="2">
        <v>675</v>
      </c>
      <c r="C2" s="2">
        <v>675</v>
      </c>
      <c r="D2" s="2">
        <v>675</v>
      </c>
      <c r="E2" s="2">
        <v>675</v>
      </c>
      <c r="F2" s="2">
        <v>675</v>
      </c>
      <c r="G2" s="2">
        <v>675</v>
      </c>
      <c r="H2" s="2">
        <v>200</v>
      </c>
      <c r="I2" s="2">
        <v>300</v>
      </c>
      <c r="J2" s="2">
        <v>450</v>
      </c>
      <c r="K2" s="2">
        <v>625</v>
      </c>
    </row>
    <row r="3" spans="1:11">
      <c r="A3" s="1" t="s">
        <v>84</v>
      </c>
      <c r="B3" s="2">
        <v>14</v>
      </c>
      <c r="C3" s="2">
        <v>10</v>
      </c>
      <c r="D3" s="2">
        <v>15</v>
      </c>
      <c r="E3" s="2">
        <v>30</v>
      </c>
      <c r="F3" s="2">
        <v>24</v>
      </c>
      <c r="G3" s="2">
        <v>20</v>
      </c>
      <c r="H3" s="2">
        <v>5</v>
      </c>
      <c r="I3" s="2">
        <v>7</v>
      </c>
      <c r="J3" s="2">
        <v>11</v>
      </c>
      <c r="K3" s="2">
        <v>10</v>
      </c>
    </row>
    <row r="4" spans="1:11">
      <c r="A4" s="1" t="s">
        <v>102</v>
      </c>
      <c r="D4" s="2">
        <v>35</v>
      </c>
      <c r="E4" s="2">
        <v>55</v>
      </c>
      <c r="F4" s="2">
        <v>35</v>
      </c>
      <c r="G4" s="2">
        <v>25</v>
      </c>
    </row>
    <row r="5" spans="1:11">
      <c r="A5" s="1" t="s">
        <v>103</v>
      </c>
      <c r="B5" s="2">
        <v>9.9</v>
      </c>
      <c r="C5" s="2">
        <v>12.4</v>
      </c>
      <c r="D5" s="2">
        <v>19.5</v>
      </c>
      <c r="E5" s="2">
        <v>16.7</v>
      </c>
      <c r="F5" s="2">
        <v>15.2</v>
      </c>
      <c r="G5" s="2">
        <v>14.1</v>
      </c>
      <c r="H5" s="2">
        <v>12.3</v>
      </c>
      <c r="I5" s="2">
        <v>11.4</v>
      </c>
      <c r="J5" s="2">
        <v>8.8000000000000007</v>
      </c>
      <c r="K5" s="2">
        <v>15</v>
      </c>
    </row>
    <row r="6" spans="1:11">
      <c r="A6" s="1" t="s">
        <v>85</v>
      </c>
      <c r="B6" s="2">
        <v>7.7</v>
      </c>
      <c r="C6" s="2">
        <v>9.6</v>
      </c>
      <c r="D6" s="2">
        <v>10.5</v>
      </c>
      <c r="E6" s="2">
        <v>9.8000000000000007</v>
      </c>
      <c r="F6" s="2">
        <v>9.6999999999999993</v>
      </c>
      <c r="G6" s="2">
        <v>9.5</v>
      </c>
      <c r="H6" s="2">
        <v>9.4</v>
      </c>
      <c r="I6" s="2">
        <v>9.5</v>
      </c>
      <c r="J6" s="2">
        <v>8.8000000000000007</v>
      </c>
      <c r="K6" s="2">
        <v>10.1</v>
      </c>
    </row>
    <row r="7" spans="1:11">
      <c r="A7" s="1" t="s">
        <v>86</v>
      </c>
      <c r="B7" s="2">
        <v>2.2000000000000002</v>
      </c>
      <c r="C7" s="2">
        <v>2.8</v>
      </c>
      <c r="D7" s="2">
        <v>9</v>
      </c>
      <c r="E7" s="2">
        <v>6.9</v>
      </c>
      <c r="F7" s="2">
        <v>5.5</v>
      </c>
      <c r="G7" s="2">
        <v>4.5999999999999996</v>
      </c>
      <c r="H7" s="2">
        <v>2.9</v>
      </c>
      <c r="I7" s="2">
        <v>1.9</v>
      </c>
      <c r="J7" s="2">
        <v>4.0000000000000001E-3</v>
      </c>
      <c r="K7" s="2">
        <v>4.9000000000000004</v>
      </c>
    </row>
    <row r="8" spans="1:11">
      <c r="A8" s="1" t="s">
        <v>87</v>
      </c>
      <c r="B8" s="2">
        <v>6</v>
      </c>
      <c r="C8" s="2">
        <v>8</v>
      </c>
      <c r="D8" s="2">
        <v>13.8</v>
      </c>
      <c r="E8" s="2">
        <v>11.6</v>
      </c>
      <c r="F8" s="2">
        <v>10.199999999999999</v>
      </c>
      <c r="G8" s="2">
        <v>9.1999999999999993</v>
      </c>
      <c r="H8" s="2">
        <v>7.2</v>
      </c>
      <c r="I8" s="2">
        <v>7</v>
      </c>
      <c r="J8" s="2">
        <v>5.3</v>
      </c>
      <c r="K8" s="2">
        <v>9.6999999999999993</v>
      </c>
    </row>
    <row r="9" spans="1:11">
      <c r="A9" s="1" t="s">
        <v>104</v>
      </c>
      <c r="B9" s="2">
        <v>1.32</v>
      </c>
      <c r="C9" s="2">
        <v>1.43</v>
      </c>
      <c r="D9" s="2">
        <v>1.8</v>
      </c>
      <c r="E9" s="2">
        <v>1.61</v>
      </c>
      <c r="F9" s="2">
        <v>1.47</v>
      </c>
      <c r="G9" s="2">
        <v>1.36</v>
      </c>
      <c r="K9" s="2">
        <v>1.58</v>
      </c>
    </row>
    <row r="10" spans="1:11">
      <c r="A10" s="1" t="s">
        <v>88</v>
      </c>
      <c r="H10" s="2">
        <v>2.0499999999999998</v>
      </c>
      <c r="I10" s="2">
        <v>2.27</v>
      </c>
      <c r="J10" s="2">
        <v>1.8</v>
      </c>
    </row>
    <row r="11" spans="1:11">
      <c r="A11" s="1" t="s">
        <v>89</v>
      </c>
      <c r="B11" s="2">
        <v>40</v>
      </c>
      <c r="C11" s="2">
        <v>35</v>
      </c>
      <c r="D11" s="2">
        <v>30</v>
      </c>
      <c r="E11" s="2">
        <v>28</v>
      </c>
      <c r="F11" s="2">
        <v>30</v>
      </c>
      <c r="G11" s="2">
        <v>32</v>
      </c>
      <c r="H11" s="2">
        <v>30</v>
      </c>
      <c r="I11" s="2">
        <v>32</v>
      </c>
      <c r="J11" s="2">
        <v>33</v>
      </c>
      <c r="K11" s="2">
        <v>35</v>
      </c>
    </row>
    <row r="12" spans="1:11">
      <c r="A12" s="1" t="s">
        <v>90</v>
      </c>
      <c r="B12" s="2">
        <v>30</v>
      </c>
      <c r="C12" s="2">
        <v>25</v>
      </c>
      <c r="D12" s="2">
        <v>21</v>
      </c>
      <c r="E12" s="2">
        <v>19</v>
      </c>
      <c r="F12" s="2">
        <v>21</v>
      </c>
      <c r="G12" s="2">
        <v>24</v>
      </c>
      <c r="H12" s="2">
        <v>20</v>
      </c>
      <c r="I12" s="2">
        <v>22</v>
      </c>
      <c r="J12" s="2">
        <v>24</v>
      </c>
      <c r="K12" s="2">
        <v>25</v>
      </c>
    </row>
    <row r="13" spans="1:11">
      <c r="A13" s="1" t="s">
        <v>91</v>
      </c>
      <c r="B13" s="2">
        <v>30</v>
      </c>
      <c r="C13" s="2">
        <v>34</v>
      </c>
      <c r="D13" s="2">
        <v>35</v>
      </c>
      <c r="E13" s="2">
        <v>38</v>
      </c>
      <c r="F13" s="2">
        <v>35</v>
      </c>
      <c r="G13" s="2">
        <v>32</v>
      </c>
      <c r="H13" s="2">
        <v>35</v>
      </c>
      <c r="I13" s="2">
        <v>30</v>
      </c>
      <c r="J13" s="2">
        <v>25</v>
      </c>
      <c r="K13" s="2">
        <v>34</v>
      </c>
    </row>
    <row r="14" spans="1:11">
      <c r="A14" s="1" t="s">
        <v>92</v>
      </c>
      <c r="B14" s="2">
        <v>0.44</v>
      </c>
      <c r="C14" s="2">
        <v>0.48</v>
      </c>
      <c r="D14" s="2">
        <v>0.79</v>
      </c>
      <c r="E14" s="2">
        <v>0.6</v>
      </c>
      <c r="F14" s="2">
        <v>0.61</v>
      </c>
      <c r="G14" s="2">
        <v>0.62</v>
      </c>
      <c r="H14" s="2">
        <v>0.41</v>
      </c>
      <c r="I14" s="2">
        <v>0.41</v>
      </c>
      <c r="J14" s="2">
        <v>0.37</v>
      </c>
      <c r="K14" s="2">
        <v>0.4</v>
      </c>
    </row>
    <row r="15" spans="1:11">
      <c r="A15" s="1" t="s">
        <v>93</v>
      </c>
      <c r="B15" s="2">
        <v>0.22</v>
      </c>
      <c r="C15" s="2">
        <v>0.26</v>
      </c>
      <c r="D15" s="2">
        <v>0.42</v>
      </c>
      <c r="E15" s="2">
        <v>0.38</v>
      </c>
      <c r="F15" s="2">
        <v>0.35</v>
      </c>
      <c r="G15" s="2">
        <v>0.32</v>
      </c>
      <c r="H15" s="2">
        <v>0.28000000000000003</v>
      </c>
      <c r="I15" s="2">
        <v>0.23</v>
      </c>
      <c r="J15" s="2">
        <v>0.18</v>
      </c>
      <c r="K15" s="2">
        <v>0.23</v>
      </c>
    </row>
    <row r="16" spans="1:11">
      <c r="A16" s="1" t="s">
        <v>94</v>
      </c>
      <c r="B16" s="2">
        <v>0.11</v>
      </c>
      <c r="C16" s="2">
        <v>0.4</v>
      </c>
      <c r="D16" s="2">
        <v>0.28999999999999998</v>
      </c>
      <c r="E16" s="2">
        <v>0.21</v>
      </c>
      <c r="F16" s="2">
        <v>0.19</v>
      </c>
      <c r="G16" s="2">
        <v>0.18</v>
      </c>
      <c r="H16" s="2">
        <v>0.11</v>
      </c>
      <c r="I16" s="2">
        <v>0.11</v>
      </c>
      <c r="J16" s="2">
        <v>0.08</v>
      </c>
      <c r="K16" s="2">
        <v>0.4</v>
      </c>
    </row>
    <row r="17" spans="1:11">
      <c r="A17" s="1" t="s">
        <v>95</v>
      </c>
      <c r="B17" s="2">
        <v>0.13</v>
      </c>
      <c r="C17" s="2">
        <v>0.2</v>
      </c>
      <c r="D17" s="2">
        <v>0.2</v>
      </c>
      <c r="E17" s="2">
        <v>0.28999999999999998</v>
      </c>
      <c r="F17" s="2">
        <v>0.26</v>
      </c>
      <c r="G17" s="2">
        <v>0.24</v>
      </c>
      <c r="H17" s="2">
        <v>0.11</v>
      </c>
      <c r="I17" s="2">
        <v>0.12</v>
      </c>
      <c r="J17" s="2">
        <v>0.1</v>
      </c>
      <c r="K17" s="2">
        <v>0.2</v>
      </c>
    </row>
    <row r="18" spans="1:11">
      <c r="A18" s="1" t="s">
        <v>96</v>
      </c>
      <c r="B18" s="2">
        <v>0.1</v>
      </c>
      <c r="C18" s="2">
        <v>0.14000000000000001</v>
      </c>
      <c r="D18" s="2">
        <v>0.34</v>
      </c>
      <c r="E18" s="2">
        <v>0.22</v>
      </c>
      <c r="F18" s="2">
        <v>0.23</v>
      </c>
      <c r="G18" s="2">
        <v>0.22</v>
      </c>
      <c r="H18" s="2">
        <v>0.08</v>
      </c>
      <c r="I18" s="2">
        <v>0.08</v>
      </c>
      <c r="J18" s="2">
        <v>7.0000000000000007E-2</v>
      </c>
      <c r="K18" s="2">
        <v>0.14000000000000001</v>
      </c>
    </row>
    <row r="19" spans="1:11">
      <c r="A19" s="1" t="s">
        <v>97</v>
      </c>
      <c r="B19" s="2">
        <v>0.51</v>
      </c>
      <c r="C19" s="2">
        <v>0.62</v>
      </c>
      <c r="D19" s="2">
        <v>1.24</v>
      </c>
      <c r="E19" s="2">
        <v>1.07</v>
      </c>
      <c r="F19" s="2">
        <v>1.04</v>
      </c>
      <c r="G19" s="2">
        <v>1</v>
      </c>
      <c r="H19" s="2">
        <v>0.47</v>
      </c>
      <c r="I19" s="2">
        <v>0.48</v>
      </c>
      <c r="J19" s="2">
        <v>0.46</v>
      </c>
      <c r="K19" s="2">
        <v>0.55000000000000004</v>
      </c>
    </row>
    <row r="20" spans="1:11">
      <c r="A20" s="1" t="s">
        <v>98</v>
      </c>
      <c r="B20" s="2">
        <v>0.2</v>
      </c>
      <c r="C20" s="2">
        <v>0.2</v>
      </c>
      <c r="D20" s="2">
        <v>0.2</v>
      </c>
      <c r="E20" s="2">
        <v>0.2</v>
      </c>
      <c r="F20" s="2">
        <v>0.2</v>
      </c>
      <c r="G20" s="2">
        <v>0.2</v>
      </c>
      <c r="H20" s="2">
        <v>0.2</v>
      </c>
      <c r="I20" s="2">
        <v>0.2</v>
      </c>
      <c r="J20" s="2">
        <v>0.2</v>
      </c>
      <c r="K20" s="2">
        <v>0.2</v>
      </c>
    </row>
    <row r="21" spans="1:11">
      <c r="A21" s="1" t="s">
        <v>99</v>
      </c>
      <c r="B21" s="17">
        <v>80300</v>
      </c>
      <c r="C21" s="17">
        <v>83270</v>
      </c>
      <c r="D21" s="17">
        <v>75000</v>
      </c>
      <c r="E21" s="17">
        <v>75000</v>
      </c>
      <c r="F21" s="17">
        <v>75000</v>
      </c>
      <c r="G21" s="17">
        <v>75000</v>
      </c>
      <c r="H21" s="17">
        <v>24000</v>
      </c>
      <c r="I21" s="17">
        <v>24000</v>
      </c>
      <c r="J21" s="17">
        <v>36000</v>
      </c>
      <c r="K21" s="17">
        <v>75000</v>
      </c>
    </row>
    <row r="22" spans="1:11">
      <c r="A22" s="1" t="s">
        <v>100</v>
      </c>
      <c r="B22" s="17">
        <v>21900</v>
      </c>
      <c r="C22" s="17">
        <v>22700</v>
      </c>
      <c r="D22" s="17">
        <v>21000</v>
      </c>
      <c r="E22" s="17">
        <v>21000</v>
      </c>
      <c r="F22" s="17">
        <v>21000</v>
      </c>
      <c r="G22" s="17">
        <v>21000</v>
      </c>
      <c r="H22" s="17">
        <v>6000</v>
      </c>
      <c r="I22" s="17">
        <v>9000</v>
      </c>
      <c r="J22" s="17">
        <v>13500</v>
      </c>
      <c r="K22" s="17">
        <v>20000</v>
      </c>
    </row>
    <row r="23" spans="1:11">
      <c r="A23" s="1" t="s">
        <v>101</v>
      </c>
      <c r="B23" s="17">
        <v>1168</v>
      </c>
      <c r="C23" s="17">
        <v>1200</v>
      </c>
      <c r="D23" s="2">
        <v>545</v>
      </c>
      <c r="E23" s="2">
        <v>545</v>
      </c>
      <c r="F23" s="2">
        <v>545</v>
      </c>
      <c r="G23" s="2">
        <v>545</v>
      </c>
      <c r="H23" s="2">
        <v>240</v>
      </c>
      <c r="I23" s="2">
        <v>240</v>
      </c>
      <c r="J23" s="2">
        <v>360</v>
      </c>
      <c r="K23" s="17">
        <v>1200</v>
      </c>
    </row>
    <row r="25" spans="1:11">
      <c r="A25" s="1" t="s">
        <v>114</v>
      </c>
    </row>
    <row r="27" spans="1:11" ht="13">
      <c r="A27" s="18"/>
      <c r="B27" s="19"/>
      <c r="C27" s="19"/>
      <c r="D27" s="19"/>
      <c r="E27" s="19"/>
      <c r="F27" s="19"/>
      <c r="G27" s="19"/>
      <c r="H27" s="19"/>
      <c r="I27" s="19"/>
    </row>
    <row r="28" spans="1:11" ht="13">
      <c r="A28" s="18" t="s">
        <v>105</v>
      </c>
    </row>
    <row r="29" spans="1:11" ht="13">
      <c r="A29" s="19" t="s">
        <v>106</v>
      </c>
    </row>
    <row r="30" spans="1:11" ht="13">
      <c r="A30" s="19" t="s">
        <v>107</v>
      </c>
    </row>
    <row r="31" spans="1:11" ht="13">
      <c r="A31" s="19" t="s">
        <v>108</v>
      </c>
    </row>
    <row r="32" spans="1:11" ht="13">
      <c r="A32" s="19" t="s">
        <v>109</v>
      </c>
    </row>
    <row r="33" spans="1:1" ht="13">
      <c r="A33" s="19" t="s">
        <v>110</v>
      </c>
    </row>
    <row r="34" spans="1:1" ht="13">
      <c r="A34" s="19" t="s">
        <v>111</v>
      </c>
    </row>
    <row r="35" spans="1:1" ht="13">
      <c r="A35" s="19" t="s">
        <v>112</v>
      </c>
    </row>
    <row r="36" spans="1:1" ht="13">
      <c r="A36" s="19" t="s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C8802-E173-4640-96F2-D80C9B0F2236}">
  <dimension ref="A1:AE291"/>
  <sheetViews>
    <sheetView tabSelected="1" topLeftCell="A51" workbookViewId="0">
      <selection activeCell="I161" sqref="I161"/>
    </sheetView>
  </sheetViews>
  <sheetFormatPr baseColWidth="10" defaultRowHeight="12"/>
  <cols>
    <col min="1" max="1" width="14.83203125" style="2" customWidth="1"/>
    <col min="2" max="2" width="13.6640625" style="1" bestFit="1" customWidth="1"/>
    <col min="3" max="3" width="13.6640625" style="47" customWidth="1"/>
    <col min="4" max="4" width="10.83203125" style="1"/>
    <col min="5" max="5" width="10.83203125" style="47"/>
    <col min="6" max="7" width="10.83203125" style="1"/>
    <col min="8" max="8" width="12.6640625" style="1" bestFit="1" customWidth="1"/>
    <col min="9" max="9" width="12.6640625" style="44" customWidth="1"/>
    <col min="10" max="15" width="7.83203125" style="25" customWidth="1"/>
    <col min="16" max="21" width="7.83203125" style="47" customWidth="1"/>
    <col min="22" max="22" width="7.83203125" style="25" customWidth="1"/>
    <col min="23" max="23" width="7.83203125" style="47" customWidth="1"/>
    <col min="24" max="24" width="7.83203125" style="44" customWidth="1"/>
    <col min="25" max="25" width="7.83203125" style="54" customWidth="1"/>
    <col min="26" max="26" width="7.83203125" style="47" customWidth="1"/>
    <col min="27" max="27" width="7.83203125" style="1" customWidth="1"/>
    <col min="28" max="28" width="7.83203125" style="47" customWidth="1"/>
    <col min="29" max="29" width="7.83203125" style="1" customWidth="1"/>
    <col min="30" max="16384" width="10.83203125" style="1"/>
  </cols>
  <sheetData>
    <row r="1" spans="1:31" ht="13">
      <c r="A1" s="14" t="s">
        <v>1</v>
      </c>
      <c r="B1" s="1">
        <v>0.453592</v>
      </c>
      <c r="F1" s="1" t="s">
        <v>32</v>
      </c>
    </row>
    <row r="2" spans="1:31">
      <c r="A2" s="14"/>
      <c r="F2" s="1" t="s">
        <v>33</v>
      </c>
    </row>
    <row r="3" spans="1:31">
      <c r="A3" s="14"/>
      <c r="F3" s="1" t="s">
        <v>34</v>
      </c>
    </row>
    <row r="4" spans="1:31">
      <c r="A4" s="14"/>
      <c r="F4" s="1" t="s">
        <v>35</v>
      </c>
    </row>
    <row r="5" spans="1:31">
      <c r="A5" s="14"/>
      <c r="F5" s="1" t="s">
        <v>36</v>
      </c>
    </row>
    <row r="6" spans="1:31">
      <c r="A6" s="14"/>
      <c r="F6" s="1" t="s">
        <v>37</v>
      </c>
    </row>
    <row r="7" spans="1:31">
      <c r="A7" s="14"/>
      <c r="F7" s="1" t="s">
        <v>38</v>
      </c>
    </row>
    <row r="8" spans="1:31">
      <c r="F8" s="1" t="s">
        <v>39</v>
      </c>
    </row>
    <row r="9" spans="1:31">
      <c r="A9" s="1" t="s">
        <v>0</v>
      </c>
    </row>
    <row r="10" spans="1:31">
      <c r="A10" s="11"/>
      <c r="B10" s="10"/>
      <c r="C10" s="53"/>
      <c r="D10" s="10"/>
      <c r="E10" s="53"/>
      <c r="F10" s="10"/>
      <c r="G10" s="10"/>
      <c r="H10" s="10"/>
      <c r="I10" s="57"/>
      <c r="J10" s="26" t="s">
        <v>10</v>
      </c>
      <c r="K10" s="27"/>
      <c r="L10" s="27"/>
      <c r="M10" s="27"/>
      <c r="N10" s="28"/>
      <c r="O10" s="20" t="s">
        <v>21</v>
      </c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2"/>
    </row>
    <row r="11" spans="1:31" ht="26">
      <c r="A11" s="12" t="s">
        <v>2</v>
      </c>
      <c r="B11" s="2" t="s">
        <v>3</v>
      </c>
      <c r="C11" s="2" t="s">
        <v>132</v>
      </c>
      <c r="F11" s="2" t="s">
        <v>4</v>
      </c>
      <c r="G11" s="2" t="s">
        <v>5</v>
      </c>
      <c r="J11" s="29" t="s">
        <v>11</v>
      </c>
      <c r="K11" s="30" t="s">
        <v>23</v>
      </c>
      <c r="L11" s="30"/>
      <c r="M11" s="30" t="s">
        <v>12</v>
      </c>
      <c r="N11" s="30" t="s">
        <v>13</v>
      </c>
      <c r="O11" s="31" t="s">
        <v>14</v>
      </c>
      <c r="P11" s="48" t="s">
        <v>130</v>
      </c>
      <c r="Q11" s="49" t="s">
        <v>23</v>
      </c>
      <c r="R11" s="49" t="s">
        <v>129</v>
      </c>
      <c r="S11" s="49" t="s">
        <v>117</v>
      </c>
      <c r="T11" s="49" t="s">
        <v>118</v>
      </c>
      <c r="U11" s="50" t="s">
        <v>119</v>
      </c>
      <c r="V11" s="29" t="s">
        <v>15</v>
      </c>
      <c r="W11" s="48" t="s">
        <v>120</v>
      </c>
      <c r="X11" s="45" t="s">
        <v>16</v>
      </c>
      <c r="Y11" s="55" t="s">
        <v>17</v>
      </c>
      <c r="Z11" s="49" t="s">
        <v>126</v>
      </c>
      <c r="AA11" s="2" t="s">
        <v>24</v>
      </c>
      <c r="AB11" s="49" t="s">
        <v>127</v>
      </c>
      <c r="AC11" s="2" t="s">
        <v>18</v>
      </c>
      <c r="AD11" s="2" t="s">
        <v>19</v>
      </c>
      <c r="AE11" s="4" t="s">
        <v>20</v>
      </c>
    </row>
    <row r="12" spans="1:31">
      <c r="A12" s="3"/>
      <c r="B12" s="1">
        <v>1300</v>
      </c>
      <c r="C12" s="47">
        <f>IF(B12&gt;0,(B12*$B$1),"")</f>
        <v>589.66959999999995</v>
      </c>
      <c r="F12" s="1">
        <v>1</v>
      </c>
      <c r="G12" s="1" t="s">
        <v>6</v>
      </c>
      <c r="J12" s="32">
        <v>15.88</v>
      </c>
      <c r="K12" s="25">
        <v>15.6</v>
      </c>
      <c r="M12" s="25">
        <v>2.75</v>
      </c>
      <c r="N12" s="25">
        <v>7.4999999999999997E-2</v>
      </c>
      <c r="O12" s="33">
        <v>0.05</v>
      </c>
      <c r="P12" s="51">
        <f>J12*$B$1</f>
        <v>7.20304096</v>
      </c>
      <c r="Q12" s="51">
        <f>K12</f>
        <v>15.6</v>
      </c>
      <c r="R12" s="51">
        <f t="shared" ref="R12:U12" si="0">L12*$B$1</f>
        <v>0</v>
      </c>
      <c r="S12" s="51">
        <f t="shared" si="0"/>
        <v>1.2473779999999999</v>
      </c>
      <c r="T12" s="51">
        <f t="shared" si="0"/>
        <v>3.4019399999999998E-2</v>
      </c>
      <c r="U12" s="51">
        <f t="shared" si="0"/>
        <v>2.2679600000000001E-2</v>
      </c>
      <c r="V12" s="32">
        <v>27</v>
      </c>
      <c r="W12" s="51">
        <f>V12*$B$1</f>
        <v>12.246983999999999</v>
      </c>
      <c r="X12" s="44">
        <v>58.9</v>
      </c>
      <c r="Y12" s="54">
        <v>0.57999999999999996</v>
      </c>
      <c r="Z12" s="47">
        <f>IF(Y12&gt;0,(Y12*$B$1),"")</f>
        <v>0.26308335999999999</v>
      </c>
      <c r="AB12" s="47" t="str">
        <f>IF(AA12&gt;0,(AA12*$B$1),"")</f>
        <v/>
      </c>
      <c r="AC12" s="1">
        <v>10.199999999999999</v>
      </c>
      <c r="AD12" s="1">
        <v>0.28000000000000003</v>
      </c>
      <c r="AE12" s="6">
        <v>0.19</v>
      </c>
    </row>
    <row r="13" spans="1:31">
      <c r="A13" s="3"/>
      <c r="C13" s="47" t="str">
        <f t="shared" ref="C13:C76" si="1">IF(B13&gt;0,(B13*$B$1),"")</f>
        <v/>
      </c>
      <c r="F13" s="1">
        <v>2</v>
      </c>
      <c r="G13" s="1" t="s">
        <v>6</v>
      </c>
      <c r="J13" s="32">
        <v>16.72</v>
      </c>
      <c r="K13" s="25">
        <v>16.600000000000001</v>
      </c>
      <c r="M13" s="25">
        <v>3.02</v>
      </c>
      <c r="N13" s="25">
        <v>8.3000000000000004E-2</v>
      </c>
      <c r="O13" s="33">
        <v>5.5E-2</v>
      </c>
      <c r="P13" s="51">
        <f t="shared" ref="P13:P23" si="2">J13*$B$1</f>
        <v>7.5840582399999992</v>
      </c>
      <c r="Q13" s="51">
        <f t="shared" ref="Q13:Q23" si="3">K13</f>
        <v>16.600000000000001</v>
      </c>
      <c r="R13" s="51">
        <f t="shared" ref="R13:R23" si="4">L13*$B$1</f>
        <v>0</v>
      </c>
      <c r="S13" s="51">
        <f t="shared" ref="S13:S23" si="5">M13*$B$1</f>
        <v>1.36984784</v>
      </c>
      <c r="T13" s="51">
        <f t="shared" ref="T13:T23" si="6">N13*$B$1</f>
        <v>3.7648135999999999E-2</v>
      </c>
      <c r="U13" s="51">
        <f t="shared" ref="U13:U23" si="7">O13*$B$1</f>
        <v>2.4947560000000001E-2</v>
      </c>
      <c r="V13" s="32">
        <v>27.8</v>
      </c>
      <c r="W13" s="51">
        <f t="shared" ref="W13:W23" si="8">V13*$B$1</f>
        <v>12.6098576</v>
      </c>
      <c r="X13" s="44">
        <v>60.1</v>
      </c>
      <c r="Y13" s="54">
        <v>0.6</v>
      </c>
      <c r="Z13" s="47">
        <f t="shared" ref="Z13:Z23" si="9">IF(Y13&gt;0,(Y13*$B$1),"")</f>
        <v>0.27215519999999999</v>
      </c>
      <c r="AB13" s="47" t="str">
        <f t="shared" ref="AB13:AB23" si="10">IF(AA13&gt;0,(AA13*$B$1),"")</f>
        <v/>
      </c>
      <c r="AC13" s="1">
        <v>10.9</v>
      </c>
      <c r="AD13" s="1">
        <v>0.3</v>
      </c>
      <c r="AE13" s="6">
        <v>0.2</v>
      </c>
    </row>
    <row r="14" spans="1:31">
      <c r="A14" s="3"/>
      <c r="C14" s="47" t="str">
        <f t="shared" si="1"/>
        <v/>
      </c>
      <c r="F14" s="1">
        <v>3</v>
      </c>
      <c r="G14" s="1" t="s">
        <v>6</v>
      </c>
      <c r="J14" s="32">
        <v>16.3</v>
      </c>
      <c r="K14" s="25">
        <v>16.100000000000001</v>
      </c>
      <c r="M14" s="25">
        <v>2.88</v>
      </c>
      <c r="N14" s="25">
        <v>7.9000000000000001E-2</v>
      </c>
      <c r="O14" s="33">
        <v>5.1999999999999998E-2</v>
      </c>
      <c r="P14" s="51">
        <f t="shared" si="2"/>
        <v>7.3935496000000001</v>
      </c>
      <c r="Q14" s="51">
        <f t="shared" si="3"/>
        <v>16.100000000000001</v>
      </c>
      <c r="R14" s="51">
        <f t="shared" si="4"/>
        <v>0</v>
      </c>
      <c r="S14" s="51">
        <f t="shared" si="5"/>
        <v>1.3063449599999999</v>
      </c>
      <c r="T14" s="51">
        <f t="shared" si="6"/>
        <v>3.5833768000000002E-2</v>
      </c>
      <c r="U14" s="51">
        <f t="shared" si="7"/>
        <v>2.3586784E-2</v>
      </c>
      <c r="V14" s="32">
        <v>27.4</v>
      </c>
      <c r="W14" s="51">
        <f t="shared" si="8"/>
        <v>12.4284208</v>
      </c>
      <c r="X14" s="44">
        <v>59.5</v>
      </c>
      <c r="Y14" s="54">
        <v>0.59</v>
      </c>
      <c r="Z14" s="47">
        <f t="shared" si="9"/>
        <v>0.26761927999999996</v>
      </c>
      <c r="AB14" s="47" t="str">
        <f t="shared" si="10"/>
        <v/>
      </c>
      <c r="AC14" s="1">
        <v>10.5</v>
      </c>
      <c r="AD14" s="1">
        <v>0.28999999999999998</v>
      </c>
      <c r="AE14" s="6">
        <v>0.19</v>
      </c>
    </row>
    <row r="15" spans="1:31">
      <c r="A15" s="3"/>
      <c r="C15" s="47" t="str">
        <f t="shared" si="1"/>
        <v/>
      </c>
      <c r="F15" s="1">
        <v>4</v>
      </c>
      <c r="G15" s="1" t="s">
        <v>7</v>
      </c>
      <c r="J15" s="32">
        <v>15.38</v>
      </c>
      <c r="K15" s="25">
        <v>15</v>
      </c>
      <c r="M15" s="25">
        <v>2.6</v>
      </c>
      <c r="N15" s="25">
        <v>7.0999999999999994E-2</v>
      </c>
      <c r="O15" s="33">
        <v>4.8000000000000001E-2</v>
      </c>
      <c r="P15" s="51">
        <f t="shared" si="2"/>
        <v>6.9762449600000007</v>
      </c>
      <c r="Q15" s="51">
        <f t="shared" si="3"/>
        <v>15</v>
      </c>
      <c r="R15" s="51">
        <f t="shared" si="4"/>
        <v>0</v>
      </c>
      <c r="S15" s="51">
        <f t="shared" si="5"/>
        <v>1.1793392</v>
      </c>
      <c r="T15" s="51">
        <f t="shared" si="6"/>
        <v>3.2205031999999995E-2</v>
      </c>
      <c r="U15" s="51">
        <f t="shared" si="7"/>
        <v>2.1772415999999999E-2</v>
      </c>
      <c r="V15" s="32">
        <v>26.4</v>
      </c>
      <c r="W15" s="51">
        <f t="shared" si="8"/>
        <v>11.974828799999999</v>
      </c>
      <c r="X15" s="44">
        <v>58.2</v>
      </c>
      <c r="Y15" s="54">
        <v>0.56999999999999995</v>
      </c>
      <c r="Z15" s="47">
        <f t="shared" si="9"/>
        <v>0.25854743999999996</v>
      </c>
      <c r="AB15" s="47" t="str">
        <f t="shared" si="10"/>
        <v/>
      </c>
      <c r="AC15" s="1">
        <v>9.8000000000000007</v>
      </c>
      <c r="AD15" s="1">
        <v>0.27</v>
      </c>
      <c r="AE15" s="6">
        <v>0.18</v>
      </c>
    </row>
    <row r="16" spans="1:31">
      <c r="A16" s="3"/>
      <c r="C16" s="47" t="str">
        <f t="shared" si="1"/>
        <v/>
      </c>
      <c r="F16" s="1">
        <v>5</v>
      </c>
      <c r="G16" s="1" t="s">
        <v>7</v>
      </c>
      <c r="J16" s="32">
        <v>14.54</v>
      </c>
      <c r="K16" s="25">
        <v>14</v>
      </c>
      <c r="M16" s="25">
        <v>2.3199999999999998</v>
      </c>
      <c r="N16" s="25">
        <v>6.3E-2</v>
      </c>
      <c r="O16" s="33">
        <v>4.2999999999999997E-2</v>
      </c>
      <c r="P16" s="51">
        <f t="shared" si="2"/>
        <v>6.5952276799999998</v>
      </c>
      <c r="Q16" s="51">
        <f t="shared" si="3"/>
        <v>14</v>
      </c>
      <c r="R16" s="51">
        <f t="shared" si="4"/>
        <v>0</v>
      </c>
      <c r="S16" s="51">
        <f t="shared" si="5"/>
        <v>1.05233344</v>
      </c>
      <c r="T16" s="51">
        <f t="shared" si="6"/>
        <v>2.8576296000000001E-2</v>
      </c>
      <c r="U16" s="51">
        <f t="shared" si="7"/>
        <v>1.9504456E-2</v>
      </c>
      <c r="V16" s="32">
        <v>25.5</v>
      </c>
      <c r="W16" s="51">
        <f t="shared" si="8"/>
        <v>11.566596000000001</v>
      </c>
      <c r="X16" s="44">
        <v>56.9</v>
      </c>
      <c r="Y16" s="54">
        <v>0.55000000000000004</v>
      </c>
      <c r="Z16" s="47">
        <f t="shared" si="9"/>
        <v>0.24947560000000002</v>
      </c>
      <c r="AB16" s="47" t="str">
        <f t="shared" si="10"/>
        <v/>
      </c>
      <c r="AC16" s="1">
        <v>9.1</v>
      </c>
      <c r="AD16" s="1">
        <v>0.25</v>
      </c>
      <c r="AE16" s="6">
        <v>0.17</v>
      </c>
    </row>
    <row r="17" spans="1:31">
      <c r="A17" s="3"/>
      <c r="C17" s="47" t="str">
        <f t="shared" si="1"/>
        <v/>
      </c>
      <c r="F17" s="1">
        <v>6</v>
      </c>
      <c r="G17" s="1" t="s">
        <v>7</v>
      </c>
      <c r="J17" s="32">
        <v>13.86</v>
      </c>
      <c r="K17" s="25">
        <v>13.2</v>
      </c>
      <c r="M17" s="25">
        <v>2.1</v>
      </c>
      <c r="N17" s="25">
        <v>5.6000000000000001E-2</v>
      </c>
      <c r="O17" s="33">
        <v>3.9E-2</v>
      </c>
      <c r="P17" s="51">
        <f t="shared" si="2"/>
        <v>6.2867851199999993</v>
      </c>
      <c r="Q17" s="51">
        <f t="shared" si="3"/>
        <v>13.2</v>
      </c>
      <c r="R17" s="51">
        <f t="shared" si="4"/>
        <v>0</v>
      </c>
      <c r="S17" s="51">
        <f t="shared" si="5"/>
        <v>0.95254320000000003</v>
      </c>
      <c r="T17" s="51">
        <f t="shared" si="6"/>
        <v>2.5401152E-2</v>
      </c>
      <c r="U17" s="51">
        <f t="shared" si="7"/>
        <v>1.7690088E-2</v>
      </c>
      <c r="V17" s="32">
        <v>24.8</v>
      </c>
      <c r="W17" s="51">
        <f t="shared" si="8"/>
        <v>11.2490816</v>
      </c>
      <c r="X17" s="44">
        <v>55.9</v>
      </c>
      <c r="Y17" s="54">
        <v>0.53</v>
      </c>
      <c r="Z17" s="47">
        <f t="shared" si="9"/>
        <v>0.24040376000000002</v>
      </c>
      <c r="AB17" s="47" t="str">
        <f t="shared" si="10"/>
        <v/>
      </c>
      <c r="AC17" s="1">
        <v>8.5</v>
      </c>
      <c r="AD17" s="1">
        <v>0.23</v>
      </c>
      <c r="AE17" s="6">
        <v>0.16</v>
      </c>
    </row>
    <row r="18" spans="1:31">
      <c r="A18" s="3"/>
      <c r="C18" s="47" t="str">
        <f t="shared" si="1"/>
        <v/>
      </c>
      <c r="F18" s="1">
        <v>7</v>
      </c>
      <c r="G18" s="1" t="s">
        <v>8</v>
      </c>
      <c r="J18" s="32">
        <v>13.42</v>
      </c>
      <c r="K18" s="25">
        <v>12.7</v>
      </c>
      <c r="M18" s="25">
        <v>1.93</v>
      </c>
      <c r="N18" s="25">
        <v>5.0999999999999997E-2</v>
      </c>
      <c r="O18" s="33">
        <v>3.5999999999999997E-2</v>
      </c>
      <c r="P18" s="51">
        <f t="shared" si="2"/>
        <v>6.0872046399999995</v>
      </c>
      <c r="Q18" s="51">
        <f t="shared" si="3"/>
        <v>12.7</v>
      </c>
      <c r="R18" s="51">
        <f t="shared" si="4"/>
        <v>0</v>
      </c>
      <c r="S18" s="51">
        <f t="shared" si="5"/>
        <v>0.87543255999999992</v>
      </c>
      <c r="T18" s="51">
        <f t="shared" si="6"/>
        <v>2.3133191999999997E-2</v>
      </c>
      <c r="U18" s="51">
        <f t="shared" si="7"/>
        <v>1.6329311999999999E-2</v>
      </c>
      <c r="V18" s="32">
        <v>24.3</v>
      </c>
      <c r="W18" s="51">
        <f t="shared" si="8"/>
        <v>11.0222856</v>
      </c>
      <c r="X18" s="44">
        <v>55.3</v>
      </c>
      <c r="Y18" s="54">
        <v>0.52</v>
      </c>
      <c r="Z18" s="47">
        <f t="shared" si="9"/>
        <v>0.23586784</v>
      </c>
      <c r="AB18" s="47" t="str">
        <f t="shared" si="10"/>
        <v/>
      </c>
      <c r="AC18" s="1">
        <v>8</v>
      </c>
      <c r="AD18" s="1">
        <v>0.21</v>
      </c>
      <c r="AE18" s="6">
        <v>0.15</v>
      </c>
    </row>
    <row r="19" spans="1:31">
      <c r="A19" s="3"/>
      <c r="C19" s="47" t="str">
        <f t="shared" si="1"/>
        <v/>
      </c>
      <c r="F19" s="1">
        <v>8</v>
      </c>
      <c r="G19" s="1" t="s">
        <v>8</v>
      </c>
      <c r="J19" s="32">
        <v>10.99</v>
      </c>
      <c r="K19" s="25">
        <v>9.5</v>
      </c>
      <c r="M19" s="25">
        <v>1.52</v>
      </c>
      <c r="N19" s="25">
        <v>3.7999999999999999E-2</v>
      </c>
      <c r="O19" s="33">
        <v>2.9000000000000001E-2</v>
      </c>
      <c r="P19" s="51">
        <f t="shared" si="2"/>
        <v>4.98497608</v>
      </c>
      <c r="Q19" s="51">
        <f t="shared" si="3"/>
        <v>9.5</v>
      </c>
      <c r="R19" s="51">
        <f t="shared" si="4"/>
        <v>0</v>
      </c>
      <c r="S19" s="51">
        <f t="shared" si="5"/>
        <v>0.68945984000000005</v>
      </c>
      <c r="T19" s="51">
        <f t="shared" si="6"/>
        <v>1.7236496E-2</v>
      </c>
      <c r="U19" s="51">
        <f t="shared" si="7"/>
        <v>1.3154168000000001E-2</v>
      </c>
      <c r="V19" s="32">
        <v>22.4</v>
      </c>
      <c r="W19" s="51">
        <f t="shared" si="8"/>
        <v>10.160460799999999</v>
      </c>
      <c r="X19" s="44">
        <v>49</v>
      </c>
      <c r="Y19" s="54">
        <v>0.42</v>
      </c>
      <c r="Z19" s="47">
        <f t="shared" si="9"/>
        <v>0.19050863999999998</v>
      </c>
      <c r="AB19" s="47" t="str">
        <f t="shared" si="10"/>
        <v/>
      </c>
      <c r="AC19" s="1">
        <v>6.8</v>
      </c>
      <c r="AD19" s="1">
        <v>0.17</v>
      </c>
      <c r="AE19" s="6">
        <v>0.13</v>
      </c>
    </row>
    <row r="20" spans="1:31">
      <c r="A20" s="3"/>
      <c r="C20" s="47" t="str">
        <f t="shared" si="1"/>
        <v/>
      </c>
      <c r="F20" s="1">
        <v>9</v>
      </c>
      <c r="G20" s="1" t="s">
        <v>8</v>
      </c>
      <c r="J20" s="32">
        <v>11.26</v>
      </c>
      <c r="K20" s="25">
        <v>9.9</v>
      </c>
      <c r="M20" s="25">
        <v>1.58</v>
      </c>
      <c r="N20" s="25">
        <v>3.7999999999999999E-2</v>
      </c>
      <c r="O20" s="33">
        <v>2.9000000000000001E-2</v>
      </c>
      <c r="P20" s="51">
        <f t="shared" si="2"/>
        <v>5.10744592</v>
      </c>
      <c r="Q20" s="51">
        <f t="shared" si="3"/>
        <v>9.9</v>
      </c>
      <c r="R20" s="51">
        <f t="shared" si="4"/>
        <v>0</v>
      </c>
      <c r="S20" s="51">
        <f t="shared" si="5"/>
        <v>0.71667535999999998</v>
      </c>
      <c r="T20" s="51">
        <f t="shared" si="6"/>
        <v>1.7236496E-2</v>
      </c>
      <c r="U20" s="51">
        <f t="shared" si="7"/>
        <v>1.3154168000000001E-2</v>
      </c>
      <c r="V20" s="32">
        <v>22.5</v>
      </c>
      <c r="W20" s="51">
        <f t="shared" si="8"/>
        <v>10.205819999999999</v>
      </c>
      <c r="X20" s="44">
        <v>50</v>
      </c>
      <c r="Y20" s="54">
        <v>0.44</v>
      </c>
      <c r="Z20" s="47">
        <f t="shared" si="9"/>
        <v>0.19958048</v>
      </c>
      <c r="AB20" s="47" t="str">
        <f t="shared" si="10"/>
        <v/>
      </c>
      <c r="AC20" s="1">
        <v>7</v>
      </c>
      <c r="AD20" s="1">
        <v>0.17</v>
      </c>
      <c r="AE20" s="6">
        <v>0.13</v>
      </c>
    </row>
    <row r="21" spans="1:31">
      <c r="A21" s="3"/>
      <c r="C21" s="47" t="str">
        <f t="shared" si="1"/>
        <v/>
      </c>
      <c r="F21" s="1">
        <v>10</v>
      </c>
      <c r="G21" s="1" t="s">
        <v>9</v>
      </c>
      <c r="J21" s="32">
        <v>11.8</v>
      </c>
      <c r="K21" s="25">
        <v>10.7</v>
      </c>
      <c r="M21" s="25">
        <v>1.68</v>
      </c>
      <c r="N21" s="25">
        <v>6.4000000000000001E-2</v>
      </c>
      <c r="O21" s="33">
        <v>0.04</v>
      </c>
      <c r="P21" s="51">
        <f t="shared" si="2"/>
        <v>5.3523855999999999</v>
      </c>
      <c r="Q21" s="51">
        <f t="shared" si="3"/>
        <v>10.7</v>
      </c>
      <c r="R21" s="51">
        <f t="shared" si="4"/>
        <v>0</v>
      </c>
      <c r="S21" s="51">
        <f t="shared" si="5"/>
        <v>0.76203455999999992</v>
      </c>
      <c r="T21" s="51">
        <f t="shared" si="6"/>
        <v>2.9029888E-2</v>
      </c>
      <c r="U21" s="51">
        <f t="shared" si="7"/>
        <v>1.8143679999999999E-2</v>
      </c>
      <c r="V21" s="32">
        <v>22.7</v>
      </c>
      <c r="W21" s="51">
        <f t="shared" si="8"/>
        <v>10.296538399999999</v>
      </c>
      <c r="X21" s="44">
        <v>52</v>
      </c>
      <c r="Y21" s="54">
        <v>0.47</v>
      </c>
      <c r="Z21" s="47">
        <f t="shared" si="9"/>
        <v>0.21318823999999997</v>
      </c>
      <c r="AB21" s="47" t="str">
        <f t="shared" si="10"/>
        <v/>
      </c>
      <c r="AC21" s="1">
        <v>7.4</v>
      </c>
      <c r="AD21" s="1">
        <v>0.28000000000000003</v>
      </c>
      <c r="AE21" s="6">
        <v>0.17</v>
      </c>
    </row>
    <row r="22" spans="1:31">
      <c r="A22" s="3"/>
      <c r="C22" s="47" t="str">
        <f t="shared" si="1"/>
        <v/>
      </c>
      <c r="F22" s="1">
        <v>11</v>
      </c>
      <c r="G22" s="1" t="s">
        <v>9</v>
      </c>
      <c r="J22" s="32">
        <v>12.59</v>
      </c>
      <c r="K22" s="25">
        <v>11.8</v>
      </c>
      <c r="M22" s="25">
        <v>1.84</v>
      </c>
      <c r="N22" s="25">
        <v>6.4000000000000001E-2</v>
      </c>
      <c r="O22" s="33">
        <v>0.04</v>
      </c>
      <c r="P22" s="51">
        <f t="shared" si="2"/>
        <v>5.7107232799999998</v>
      </c>
      <c r="Q22" s="51">
        <f t="shared" si="3"/>
        <v>11.8</v>
      </c>
      <c r="R22" s="51">
        <f t="shared" si="4"/>
        <v>0</v>
      </c>
      <c r="S22" s="51">
        <f t="shared" si="5"/>
        <v>0.83460928000000001</v>
      </c>
      <c r="T22" s="51">
        <f t="shared" si="6"/>
        <v>2.9029888E-2</v>
      </c>
      <c r="U22" s="51">
        <f t="shared" si="7"/>
        <v>1.8143679999999999E-2</v>
      </c>
      <c r="V22" s="32">
        <v>23.1</v>
      </c>
      <c r="W22" s="51">
        <f t="shared" si="8"/>
        <v>10.477975200000001</v>
      </c>
      <c r="X22" s="44">
        <v>54.5</v>
      </c>
      <c r="Y22" s="54">
        <v>0.51</v>
      </c>
      <c r="Z22" s="47">
        <f t="shared" si="9"/>
        <v>0.23133192</v>
      </c>
      <c r="AB22" s="47" t="str">
        <f t="shared" si="10"/>
        <v/>
      </c>
      <c r="AC22" s="1">
        <v>8</v>
      </c>
      <c r="AD22" s="1">
        <v>0.27</v>
      </c>
      <c r="AE22" s="6">
        <v>0.17</v>
      </c>
    </row>
    <row r="23" spans="1:31">
      <c r="A23" s="13"/>
      <c r="B23" s="8"/>
      <c r="C23" s="47" t="str">
        <f t="shared" si="1"/>
        <v/>
      </c>
      <c r="F23" s="8">
        <v>12</v>
      </c>
      <c r="G23" s="8" t="s">
        <v>9</v>
      </c>
      <c r="J23" s="34">
        <v>13.84</v>
      </c>
      <c r="K23" s="35">
        <v>13.5</v>
      </c>
      <c r="L23" s="35"/>
      <c r="M23" s="35">
        <v>2.11</v>
      </c>
      <c r="N23" s="35">
        <v>6.4000000000000001E-2</v>
      </c>
      <c r="O23" s="36">
        <v>0.04</v>
      </c>
      <c r="P23" s="51">
        <f t="shared" si="2"/>
        <v>6.2777132799999995</v>
      </c>
      <c r="Q23" s="51">
        <f t="shared" si="3"/>
        <v>13.5</v>
      </c>
      <c r="R23" s="51">
        <f t="shared" si="4"/>
        <v>0</v>
      </c>
      <c r="S23" s="51">
        <f t="shared" si="5"/>
        <v>0.95707911999999995</v>
      </c>
      <c r="T23" s="51">
        <f t="shared" si="6"/>
        <v>2.9029888E-2</v>
      </c>
      <c r="U23" s="51">
        <f t="shared" si="7"/>
        <v>1.8143679999999999E-2</v>
      </c>
      <c r="V23" s="34">
        <v>23.8</v>
      </c>
      <c r="W23" s="51">
        <f t="shared" si="8"/>
        <v>10.7954896</v>
      </c>
      <c r="X23" s="46">
        <v>58.1</v>
      </c>
      <c r="Y23" s="56">
        <v>0.56999999999999995</v>
      </c>
      <c r="Z23" s="47">
        <f t="shared" si="9"/>
        <v>0.25854743999999996</v>
      </c>
      <c r="AB23" s="47" t="str">
        <f t="shared" si="10"/>
        <v/>
      </c>
      <c r="AC23" s="8">
        <v>8.8000000000000007</v>
      </c>
      <c r="AD23" s="8">
        <v>0.27</v>
      </c>
      <c r="AE23" s="9">
        <v>0.17</v>
      </c>
    </row>
    <row r="24" spans="1:31">
      <c r="C24" s="47" t="str">
        <f t="shared" si="1"/>
        <v/>
      </c>
      <c r="P24" s="51"/>
      <c r="Q24" s="51"/>
      <c r="R24" s="51"/>
      <c r="S24" s="51"/>
      <c r="T24" s="51"/>
      <c r="U24" s="51"/>
    </row>
    <row r="25" spans="1:31">
      <c r="A25" s="11"/>
      <c r="B25" s="10"/>
      <c r="C25" s="47" t="str">
        <f t="shared" si="1"/>
        <v/>
      </c>
      <c r="F25" s="10"/>
      <c r="G25" s="10"/>
      <c r="J25" s="26" t="s">
        <v>10</v>
      </c>
      <c r="K25" s="27"/>
      <c r="L25" s="27"/>
      <c r="M25" s="27"/>
      <c r="N25" s="27"/>
      <c r="O25" s="28"/>
      <c r="P25" s="51"/>
      <c r="Q25" s="51"/>
      <c r="R25" s="51"/>
      <c r="S25" s="51"/>
      <c r="T25" s="51"/>
      <c r="U25" s="51"/>
      <c r="V25" s="20" t="s">
        <v>21</v>
      </c>
      <c r="W25" s="21"/>
      <c r="X25" s="21"/>
      <c r="Y25" s="21"/>
      <c r="Z25" s="21"/>
      <c r="AA25" s="21"/>
      <c r="AB25" s="21"/>
      <c r="AC25" s="21"/>
      <c r="AD25" s="21"/>
      <c r="AE25" s="22"/>
    </row>
    <row r="26" spans="1:31" ht="26">
      <c r="A26" s="12" t="s">
        <v>22</v>
      </c>
      <c r="B26" s="2" t="s">
        <v>3</v>
      </c>
      <c r="C26" s="47" t="s">
        <v>132</v>
      </c>
      <c r="F26" s="2" t="s">
        <v>4</v>
      </c>
      <c r="G26" s="2" t="s">
        <v>5</v>
      </c>
      <c r="J26" s="29" t="s">
        <v>11</v>
      </c>
      <c r="K26" s="30" t="s">
        <v>23</v>
      </c>
      <c r="L26" s="30" t="s">
        <v>24</v>
      </c>
      <c r="M26" s="30" t="s">
        <v>12</v>
      </c>
      <c r="N26" s="30" t="s">
        <v>13</v>
      </c>
      <c r="O26" s="31" t="s">
        <v>14</v>
      </c>
      <c r="P26" s="48" t="s">
        <v>130</v>
      </c>
      <c r="Q26" s="49" t="s">
        <v>23</v>
      </c>
      <c r="R26" s="49" t="s">
        <v>129</v>
      </c>
      <c r="S26" s="49" t="s">
        <v>117</v>
      </c>
      <c r="T26" s="49" t="s">
        <v>118</v>
      </c>
      <c r="U26" s="50" t="s">
        <v>119</v>
      </c>
      <c r="V26" s="29" t="s">
        <v>15</v>
      </c>
      <c r="W26" s="48" t="s">
        <v>120</v>
      </c>
      <c r="X26" s="45" t="s">
        <v>16</v>
      </c>
      <c r="Y26" s="55" t="s">
        <v>17</v>
      </c>
      <c r="Z26" s="49" t="s">
        <v>126</v>
      </c>
      <c r="AA26" s="2" t="s">
        <v>24</v>
      </c>
      <c r="AB26" s="49" t="s">
        <v>127</v>
      </c>
      <c r="AC26" s="2" t="s">
        <v>18</v>
      </c>
      <c r="AD26" s="2" t="s">
        <v>19</v>
      </c>
      <c r="AE26" s="4" t="s">
        <v>20</v>
      </c>
    </row>
    <row r="27" spans="1:31">
      <c r="A27" s="3"/>
      <c r="B27" s="1">
        <v>1020</v>
      </c>
      <c r="C27" s="47">
        <f t="shared" si="1"/>
        <v>462.66383999999999</v>
      </c>
      <c r="F27" s="1">
        <v>1</v>
      </c>
      <c r="G27" s="1" t="s">
        <v>6</v>
      </c>
      <c r="J27" s="32">
        <v>14.94</v>
      </c>
      <c r="K27" s="25">
        <v>14.8</v>
      </c>
      <c r="L27" s="25">
        <v>0.3</v>
      </c>
      <c r="M27" s="25">
        <v>2.25</v>
      </c>
      <c r="N27" s="25">
        <v>6.0999999999999999E-2</v>
      </c>
      <c r="O27" s="33">
        <v>0.04</v>
      </c>
      <c r="P27" s="51">
        <f t="shared" ref="P27" si="11">J27*$B$1</f>
        <v>6.77666448</v>
      </c>
      <c r="Q27" s="51">
        <f t="shared" ref="Q27" si="12">K27</f>
        <v>14.8</v>
      </c>
      <c r="R27" s="51">
        <f t="shared" ref="R27" si="13">L27*$B$1</f>
        <v>0.13607759999999999</v>
      </c>
      <c r="S27" s="51">
        <f t="shared" ref="S27" si="14">M27*$B$1</f>
        <v>1.0205820000000001</v>
      </c>
      <c r="T27" s="51">
        <f t="shared" ref="T27" si="15">N27*$B$1</f>
        <v>2.7669111999999999E-2</v>
      </c>
      <c r="U27" s="51">
        <f t="shared" ref="U27" si="16">O27*$B$1</f>
        <v>1.8143679999999999E-2</v>
      </c>
      <c r="V27" s="32">
        <v>23.3</v>
      </c>
      <c r="W27" s="51">
        <f>V27*$B$1</f>
        <v>10.5686936</v>
      </c>
      <c r="X27" s="44">
        <v>64</v>
      </c>
      <c r="Y27" s="54">
        <v>0.66</v>
      </c>
      <c r="Z27" s="47">
        <f>IF(Y27&gt;0,(Y27*$B$1),"")</f>
        <v>0.29937072000000003</v>
      </c>
      <c r="AA27" s="1">
        <v>0.39</v>
      </c>
      <c r="AB27" s="47">
        <f>IF(AA27&gt;0,(AA27*$B$1),"")</f>
        <v>0.17690088000000001</v>
      </c>
      <c r="AC27" s="1">
        <v>9.6999999999999993</v>
      </c>
      <c r="AD27" s="1">
        <v>0.26</v>
      </c>
      <c r="AE27" s="6">
        <v>0.17</v>
      </c>
    </row>
    <row r="28" spans="1:31">
      <c r="A28" s="3"/>
      <c r="C28" s="47" t="str">
        <f t="shared" si="1"/>
        <v/>
      </c>
      <c r="F28" s="1">
        <v>2</v>
      </c>
      <c r="G28" s="1" t="s">
        <v>6</v>
      </c>
      <c r="J28" s="32">
        <v>15.62</v>
      </c>
      <c r="K28" s="25">
        <v>15.6</v>
      </c>
      <c r="L28" s="25">
        <v>0.3</v>
      </c>
      <c r="M28" s="25">
        <v>2.46</v>
      </c>
      <c r="N28" s="25">
        <v>6.7000000000000004E-2</v>
      </c>
      <c r="O28" s="33">
        <v>4.2999999999999997E-2</v>
      </c>
      <c r="P28" s="51">
        <f t="shared" ref="P28:P91" si="17">J28*$B$1</f>
        <v>7.0851070399999996</v>
      </c>
      <c r="Q28" s="51">
        <f t="shared" ref="Q28:Q91" si="18">K28</f>
        <v>15.6</v>
      </c>
      <c r="R28" s="51">
        <f t="shared" ref="R28:R91" si="19">L28*$B$1</f>
        <v>0.13607759999999999</v>
      </c>
      <c r="S28" s="51">
        <f t="shared" ref="S28:S91" si="20">M28*$B$1</f>
        <v>1.1158363199999999</v>
      </c>
      <c r="T28" s="51">
        <f t="shared" ref="T28:T91" si="21">N28*$B$1</f>
        <v>3.0390664000000001E-2</v>
      </c>
      <c r="U28" s="51">
        <f t="shared" ref="U28:U91" si="22">O28*$B$1</f>
        <v>1.9504456E-2</v>
      </c>
      <c r="V28" s="32">
        <v>24.1</v>
      </c>
      <c r="W28" s="51">
        <f t="shared" ref="W28:W38" si="23">V28*$B$1</f>
        <v>10.9315672</v>
      </c>
      <c r="X28" s="44">
        <v>64.900000000000006</v>
      </c>
      <c r="Y28" s="54">
        <v>0.67</v>
      </c>
      <c r="Z28" s="47">
        <f t="shared" ref="Z28:Z38" si="24">IF(Y28&gt;0,(Y28*$B$1),"")</f>
        <v>0.30390664000000001</v>
      </c>
      <c r="AA28" s="1">
        <v>0.39</v>
      </c>
      <c r="AB28" s="47">
        <f t="shared" ref="AB28:AB38" si="25">IF(AA28&gt;0,(AA28*$B$1),"")</f>
        <v>0.17690088000000001</v>
      </c>
      <c r="AC28" s="1">
        <v>10.199999999999999</v>
      </c>
      <c r="AD28" s="1">
        <v>0.28000000000000003</v>
      </c>
      <c r="AE28" s="6">
        <v>0.18</v>
      </c>
    </row>
    <row r="29" spans="1:31">
      <c r="A29" s="3"/>
      <c r="C29" s="47" t="str">
        <f t="shared" si="1"/>
        <v/>
      </c>
      <c r="F29" s="1">
        <v>3</v>
      </c>
      <c r="G29" s="1" t="s">
        <v>6</v>
      </c>
      <c r="J29" s="32">
        <v>15.39</v>
      </c>
      <c r="K29" s="25">
        <v>15.3</v>
      </c>
      <c r="L29" s="25">
        <v>0.3</v>
      </c>
      <c r="M29" s="25">
        <v>2.35</v>
      </c>
      <c r="N29" s="25">
        <v>6.4000000000000001E-2</v>
      </c>
      <c r="O29" s="33">
        <v>4.1000000000000002E-2</v>
      </c>
      <c r="P29" s="51">
        <f t="shared" si="17"/>
        <v>6.9807808800000002</v>
      </c>
      <c r="Q29" s="51">
        <f t="shared" si="18"/>
        <v>15.3</v>
      </c>
      <c r="R29" s="51">
        <f t="shared" si="19"/>
        <v>0.13607759999999999</v>
      </c>
      <c r="S29" s="51">
        <f t="shared" si="20"/>
        <v>1.0659411999999999</v>
      </c>
      <c r="T29" s="51">
        <f t="shared" si="21"/>
        <v>2.9029888E-2</v>
      </c>
      <c r="U29" s="51">
        <f t="shared" si="22"/>
        <v>1.8597272000000001E-2</v>
      </c>
      <c r="V29" s="32">
        <v>23.8</v>
      </c>
      <c r="W29" s="51">
        <f t="shared" si="23"/>
        <v>10.7954896</v>
      </c>
      <c r="X29" s="44">
        <v>64.599999999999994</v>
      </c>
      <c r="Y29" s="54">
        <v>0.66</v>
      </c>
      <c r="Z29" s="47">
        <f t="shared" si="24"/>
        <v>0.29937072000000003</v>
      </c>
      <c r="AA29" s="1">
        <v>0.39</v>
      </c>
      <c r="AB29" s="47">
        <f t="shared" si="25"/>
        <v>0.17690088000000001</v>
      </c>
      <c r="AC29" s="1">
        <v>9.9</v>
      </c>
      <c r="AD29" s="1">
        <v>0.27</v>
      </c>
      <c r="AE29" s="6">
        <v>0.17</v>
      </c>
    </row>
    <row r="30" spans="1:31">
      <c r="A30" s="3"/>
      <c r="C30" s="47" t="str">
        <f t="shared" si="1"/>
        <v/>
      </c>
      <c r="F30" s="1">
        <v>4</v>
      </c>
      <c r="G30" s="1" t="s">
        <v>7</v>
      </c>
      <c r="J30" s="32">
        <v>14.72</v>
      </c>
      <c r="K30" s="25">
        <v>14.5</v>
      </c>
      <c r="L30" s="25">
        <v>0.3</v>
      </c>
      <c r="M30" s="25">
        <v>2.16</v>
      </c>
      <c r="N30" s="25">
        <v>5.8000000000000003E-2</v>
      </c>
      <c r="O30" s="33">
        <v>3.7999999999999999E-2</v>
      </c>
      <c r="P30" s="51">
        <f t="shared" si="17"/>
        <v>6.6768742400000001</v>
      </c>
      <c r="Q30" s="51">
        <f t="shared" si="18"/>
        <v>14.5</v>
      </c>
      <c r="R30" s="51">
        <f t="shared" si="19"/>
        <v>0.13607759999999999</v>
      </c>
      <c r="S30" s="51">
        <f t="shared" si="20"/>
        <v>0.97975872000000008</v>
      </c>
      <c r="T30" s="51">
        <f t="shared" si="21"/>
        <v>2.6308336000000002E-2</v>
      </c>
      <c r="U30" s="51">
        <f t="shared" si="22"/>
        <v>1.7236496E-2</v>
      </c>
      <c r="V30" s="32">
        <v>23.2</v>
      </c>
      <c r="W30" s="51">
        <f t="shared" si="23"/>
        <v>10.5233344</v>
      </c>
      <c r="X30" s="44">
        <v>63.5</v>
      </c>
      <c r="Y30" s="54">
        <v>0.65</v>
      </c>
      <c r="Z30" s="47">
        <f t="shared" si="24"/>
        <v>0.29483480000000001</v>
      </c>
      <c r="AA30" s="1">
        <v>0.39</v>
      </c>
      <c r="AB30" s="47">
        <f t="shared" si="25"/>
        <v>0.17690088000000001</v>
      </c>
      <c r="AC30" s="1">
        <v>9.3000000000000007</v>
      </c>
      <c r="AD30" s="1">
        <v>0.25</v>
      </c>
      <c r="AE30" s="6">
        <v>0.16</v>
      </c>
    </row>
    <row r="31" spans="1:31">
      <c r="A31" s="3"/>
      <c r="C31" s="47" t="str">
        <f t="shared" si="1"/>
        <v/>
      </c>
      <c r="F31" s="1">
        <v>5</v>
      </c>
      <c r="G31" s="1" t="s">
        <v>7</v>
      </c>
      <c r="J31" s="32">
        <v>14.14</v>
      </c>
      <c r="K31" s="25">
        <v>13.8</v>
      </c>
      <c r="L31" s="25">
        <v>0.3</v>
      </c>
      <c r="M31" s="25">
        <v>1.96</v>
      </c>
      <c r="N31" s="25">
        <v>5.1999999999999998E-2</v>
      </c>
      <c r="O31" s="33">
        <v>3.5000000000000003E-2</v>
      </c>
      <c r="P31" s="51">
        <f t="shared" si="17"/>
        <v>6.4137908800000005</v>
      </c>
      <c r="Q31" s="51">
        <f t="shared" si="18"/>
        <v>13.8</v>
      </c>
      <c r="R31" s="51">
        <f t="shared" si="19"/>
        <v>0.13607759999999999</v>
      </c>
      <c r="S31" s="51">
        <f t="shared" si="20"/>
        <v>0.88904032</v>
      </c>
      <c r="T31" s="51">
        <f t="shared" si="21"/>
        <v>2.3586784E-2</v>
      </c>
      <c r="U31" s="51">
        <f t="shared" si="22"/>
        <v>1.5875720000000003E-2</v>
      </c>
      <c r="V31" s="32">
        <v>22.6</v>
      </c>
      <c r="W31" s="51">
        <f t="shared" si="23"/>
        <v>10.251179200000001</v>
      </c>
      <c r="X31" s="44">
        <v>62.6</v>
      </c>
      <c r="Y31" s="54">
        <v>0.63</v>
      </c>
      <c r="Z31" s="47">
        <f t="shared" si="24"/>
        <v>0.28576296000000001</v>
      </c>
      <c r="AA31" s="1">
        <v>0.39</v>
      </c>
      <c r="AB31" s="47">
        <f t="shared" si="25"/>
        <v>0.17690088000000001</v>
      </c>
      <c r="AC31" s="1">
        <v>8.6999999999999993</v>
      </c>
      <c r="AD31" s="1">
        <v>0.23</v>
      </c>
      <c r="AE31" s="6">
        <v>0.15</v>
      </c>
    </row>
    <row r="32" spans="1:31">
      <c r="A32" s="3"/>
      <c r="C32" s="47" t="str">
        <f t="shared" si="1"/>
        <v/>
      </c>
      <c r="F32" s="1">
        <v>6</v>
      </c>
      <c r="G32" s="1" t="s">
        <v>7</v>
      </c>
      <c r="J32" s="32">
        <v>13.71</v>
      </c>
      <c r="K32" s="25">
        <v>13.3</v>
      </c>
      <c r="L32" s="25">
        <v>0.3</v>
      </c>
      <c r="M32" s="25">
        <v>1.79</v>
      </c>
      <c r="N32" s="25">
        <v>4.7E-2</v>
      </c>
      <c r="O32" s="33">
        <v>3.2000000000000001E-2</v>
      </c>
      <c r="P32" s="51">
        <f t="shared" si="17"/>
        <v>6.2187463200000002</v>
      </c>
      <c r="Q32" s="51">
        <f t="shared" si="18"/>
        <v>13.3</v>
      </c>
      <c r="R32" s="51">
        <f t="shared" si="19"/>
        <v>0.13607759999999999</v>
      </c>
      <c r="S32" s="51">
        <f t="shared" si="20"/>
        <v>0.81192967999999999</v>
      </c>
      <c r="T32" s="51">
        <f t="shared" si="21"/>
        <v>2.1318824E-2</v>
      </c>
      <c r="U32" s="51">
        <f t="shared" si="22"/>
        <v>1.4514944E-2</v>
      </c>
      <c r="V32" s="32">
        <v>22.1</v>
      </c>
      <c r="W32" s="51">
        <f t="shared" si="23"/>
        <v>10.024383200000001</v>
      </c>
      <c r="X32" s="44">
        <v>62</v>
      </c>
      <c r="Y32" s="54">
        <v>0.63</v>
      </c>
      <c r="Z32" s="47">
        <f t="shared" si="24"/>
        <v>0.28576296000000001</v>
      </c>
      <c r="AA32" s="1">
        <v>0.39</v>
      </c>
      <c r="AB32" s="47">
        <f t="shared" si="25"/>
        <v>0.17690088000000001</v>
      </c>
      <c r="AC32" s="1">
        <v>8.1</v>
      </c>
      <c r="AD32" s="1">
        <v>0.21</v>
      </c>
      <c r="AE32" s="6">
        <v>0.14000000000000001</v>
      </c>
    </row>
    <row r="33" spans="1:31">
      <c r="A33" s="3"/>
      <c r="C33" s="47" t="str">
        <f t="shared" si="1"/>
        <v/>
      </c>
      <c r="F33" s="1">
        <v>7</v>
      </c>
      <c r="G33" s="1" t="s">
        <v>8</v>
      </c>
      <c r="J33" s="32">
        <v>13.38</v>
      </c>
      <c r="K33" s="25">
        <v>12.9</v>
      </c>
      <c r="L33" s="25">
        <v>0.3</v>
      </c>
      <c r="M33" s="25">
        <v>1.67</v>
      </c>
      <c r="N33" s="25">
        <v>4.2999999999999997E-2</v>
      </c>
      <c r="O33" s="33">
        <v>0.03</v>
      </c>
      <c r="P33" s="51">
        <f t="shared" si="17"/>
        <v>6.0690609600000007</v>
      </c>
      <c r="Q33" s="51">
        <f t="shared" si="18"/>
        <v>12.9</v>
      </c>
      <c r="R33" s="51">
        <f t="shared" si="19"/>
        <v>0.13607759999999999</v>
      </c>
      <c r="S33" s="51">
        <f t="shared" si="20"/>
        <v>0.75749864</v>
      </c>
      <c r="T33" s="51">
        <f t="shared" si="21"/>
        <v>1.9504456E-2</v>
      </c>
      <c r="U33" s="51">
        <f t="shared" si="22"/>
        <v>1.360776E-2</v>
      </c>
      <c r="V33" s="32">
        <v>21.8</v>
      </c>
      <c r="W33" s="51">
        <f t="shared" si="23"/>
        <v>9.8883056000000007</v>
      </c>
      <c r="X33" s="44">
        <v>61.4</v>
      </c>
      <c r="Y33" s="54">
        <v>0.62</v>
      </c>
      <c r="Z33" s="47">
        <f t="shared" si="24"/>
        <v>0.28122703999999998</v>
      </c>
      <c r="AA33" s="1">
        <v>0.39</v>
      </c>
      <c r="AB33" s="47">
        <f t="shared" si="25"/>
        <v>0.17690088000000001</v>
      </c>
      <c r="AC33" s="1">
        <v>7.7</v>
      </c>
      <c r="AD33" s="1">
        <v>0.2</v>
      </c>
      <c r="AE33" s="6">
        <v>0.14000000000000001</v>
      </c>
    </row>
    <row r="34" spans="1:31">
      <c r="A34" s="3"/>
      <c r="C34" s="47" t="str">
        <f t="shared" si="1"/>
        <v/>
      </c>
      <c r="F34" s="1">
        <v>8</v>
      </c>
      <c r="G34" s="1" t="s">
        <v>8</v>
      </c>
      <c r="J34" s="32">
        <v>9.85</v>
      </c>
      <c r="K34" s="25">
        <v>8.1</v>
      </c>
      <c r="L34" s="25">
        <v>0.3</v>
      </c>
      <c r="M34" s="25">
        <v>1.38</v>
      </c>
      <c r="N34" s="25">
        <v>3.4000000000000002E-2</v>
      </c>
      <c r="O34" s="33">
        <v>2.5000000000000001E-2</v>
      </c>
      <c r="P34" s="51">
        <f t="shared" si="17"/>
        <v>4.4678811999999999</v>
      </c>
      <c r="Q34" s="51">
        <f t="shared" si="18"/>
        <v>8.1</v>
      </c>
      <c r="R34" s="51">
        <f t="shared" si="19"/>
        <v>0.13607759999999999</v>
      </c>
      <c r="S34" s="51">
        <f t="shared" si="20"/>
        <v>0.6259569599999999</v>
      </c>
      <c r="T34" s="51">
        <f t="shared" si="21"/>
        <v>1.5422128E-2</v>
      </c>
      <c r="U34" s="51">
        <f t="shared" si="22"/>
        <v>1.1339800000000001E-2</v>
      </c>
      <c r="V34" s="32">
        <v>19.399999999999999</v>
      </c>
      <c r="W34" s="51">
        <f t="shared" si="23"/>
        <v>8.7996847999999996</v>
      </c>
      <c r="X34" s="44">
        <v>50.8</v>
      </c>
      <c r="Y34" s="54">
        <v>0.45</v>
      </c>
      <c r="Z34" s="47">
        <f t="shared" si="24"/>
        <v>0.2041164</v>
      </c>
      <c r="AA34" s="1">
        <v>0.39</v>
      </c>
      <c r="AB34" s="47">
        <f t="shared" si="25"/>
        <v>0.17690088000000001</v>
      </c>
      <c r="AC34" s="1">
        <v>7.1</v>
      </c>
      <c r="AD34" s="1">
        <v>0.17</v>
      </c>
      <c r="AE34" s="6">
        <v>0.13</v>
      </c>
    </row>
    <row r="35" spans="1:31">
      <c r="A35" s="3"/>
      <c r="C35" s="47" t="str">
        <f t="shared" si="1"/>
        <v/>
      </c>
      <c r="F35" s="1">
        <v>9</v>
      </c>
      <c r="G35" s="1" t="s">
        <v>8</v>
      </c>
      <c r="J35" s="32">
        <v>10.11</v>
      </c>
      <c r="K35" s="25">
        <v>8.5</v>
      </c>
      <c r="L35" s="25">
        <v>0.3</v>
      </c>
      <c r="M35" s="25">
        <v>1.43</v>
      </c>
      <c r="N35" s="25">
        <v>3.4000000000000002E-2</v>
      </c>
      <c r="O35" s="33">
        <v>2.5000000000000001E-2</v>
      </c>
      <c r="P35" s="51">
        <f t="shared" si="17"/>
        <v>4.5858151199999995</v>
      </c>
      <c r="Q35" s="51">
        <f t="shared" si="18"/>
        <v>8.5</v>
      </c>
      <c r="R35" s="51">
        <f t="shared" si="19"/>
        <v>0.13607759999999999</v>
      </c>
      <c r="S35" s="51">
        <f t="shared" si="20"/>
        <v>0.64863655999999992</v>
      </c>
      <c r="T35" s="51">
        <f t="shared" si="21"/>
        <v>1.5422128E-2</v>
      </c>
      <c r="U35" s="51">
        <f t="shared" si="22"/>
        <v>1.1339800000000001E-2</v>
      </c>
      <c r="V35" s="32">
        <v>19.5</v>
      </c>
      <c r="W35" s="51">
        <f t="shared" si="23"/>
        <v>8.8450439999999997</v>
      </c>
      <c r="X35" s="44">
        <v>51.7</v>
      </c>
      <c r="Y35" s="54">
        <v>0.47</v>
      </c>
      <c r="Z35" s="47">
        <f t="shared" si="24"/>
        <v>0.21318823999999997</v>
      </c>
      <c r="AA35" s="1">
        <v>0.39</v>
      </c>
      <c r="AB35" s="47">
        <f t="shared" si="25"/>
        <v>0.17690088000000001</v>
      </c>
      <c r="AC35" s="1">
        <v>7.3</v>
      </c>
      <c r="AD35" s="1">
        <v>0.17</v>
      </c>
      <c r="AE35" s="6">
        <v>0.13</v>
      </c>
    </row>
    <row r="36" spans="1:31">
      <c r="A36" s="3"/>
      <c r="C36" s="47" t="str">
        <f t="shared" si="1"/>
        <v/>
      </c>
      <c r="F36" s="1">
        <v>10</v>
      </c>
      <c r="G36" s="1" t="s">
        <v>9</v>
      </c>
      <c r="J36" s="32">
        <v>10.58</v>
      </c>
      <c r="K36" s="25">
        <v>9.1999999999999993</v>
      </c>
      <c r="L36" s="25">
        <v>0.3</v>
      </c>
      <c r="M36" s="25">
        <v>1.52</v>
      </c>
      <c r="N36" s="25">
        <v>5.5E-2</v>
      </c>
      <c r="O36" s="33">
        <v>3.3000000000000002E-2</v>
      </c>
      <c r="P36" s="51">
        <f t="shared" si="17"/>
        <v>4.7990033600000004</v>
      </c>
      <c r="Q36" s="51">
        <f t="shared" si="18"/>
        <v>9.1999999999999993</v>
      </c>
      <c r="R36" s="51">
        <f t="shared" si="19"/>
        <v>0.13607759999999999</v>
      </c>
      <c r="S36" s="51">
        <f t="shared" si="20"/>
        <v>0.68945984000000005</v>
      </c>
      <c r="T36" s="51">
        <f t="shared" si="21"/>
        <v>2.4947560000000001E-2</v>
      </c>
      <c r="U36" s="51">
        <f t="shared" si="22"/>
        <v>1.4968536000000001E-2</v>
      </c>
      <c r="V36" s="32">
        <v>19.8</v>
      </c>
      <c r="W36" s="51">
        <f t="shared" si="23"/>
        <v>8.9811215999999998</v>
      </c>
      <c r="X36" s="44">
        <v>53.4</v>
      </c>
      <c r="Y36" s="54">
        <v>0.49</v>
      </c>
      <c r="Z36" s="47">
        <f t="shared" si="24"/>
        <v>0.22226008</v>
      </c>
      <c r="AA36" s="1">
        <v>0.39</v>
      </c>
      <c r="AB36" s="47">
        <f t="shared" si="25"/>
        <v>0.17690088000000001</v>
      </c>
      <c r="AC36" s="1">
        <v>7.7</v>
      </c>
      <c r="AD36" s="1">
        <v>0.28000000000000003</v>
      </c>
      <c r="AE36" s="6">
        <v>0.17</v>
      </c>
    </row>
    <row r="37" spans="1:31">
      <c r="A37" s="3"/>
      <c r="C37" s="47" t="str">
        <f t="shared" si="1"/>
        <v/>
      </c>
      <c r="F37" s="1">
        <v>11</v>
      </c>
      <c r="G37" s="1" t="s">
        <v>9</v>
      </c>
      <c r="J37" s="32">
        <v>11.28</v>
      </c>
      <c r="K37" s="25">
        <v>10.199999999999999</v>
      </c>
      <c r="L37" s="25">
        <v>0.3</v>
      </c>
      <c r="M37" s="25">
        <v>1.66</v>
      </c>
      <c r="N37" s="25">
        <v>5.5E-2</v>
      </c>
      <c r="O37" s="33">
        <v>3.3000000000000002E-2</v>
      </c>
      <c r="P37" s="51">
        <f t="shared" si="17"/>
        <v>5.1165177599999998</v>
      </c>
      <c r="Q37" s="51">
        <f t="shared" si="18"/>
        <v>10.199999999999999</v>
      </c>
      <c r="R37" s="51">
        <f t="shared" si="19"/>
        <v>0.13607759999999999</v>
      </c>
      <c r="S37" s="51">
        <f t="shared" si="20"/>
        <v>0.75296271999999997</v>
      </c>
      <c r="T37" s="51">
        <f t="shared" si="21"/>
        <v>2.4947560000000001E-2</v>
      </c>
      <c r="U37" s="51">
        <f t="shared" si="22"/>
        <v>1.4968536000000001E-2</v>
      </c>
      <c r="V37" s="32">
        <v>20.2</v>
      </c>
      <c r="W37" s="51">
        <f t="shared" si="23"/>
        <v>9.1625584</v>
      </c>
      <c r="X37" s="44">
        <v>55.8</v>
      </c>
      <c r="Y37" s="54">
        <v>0.53</v>
      </c>
      <c r="Z37" s="47">
        <f t="shared" si="24"/>
        <v>0.24040376000000002</v>
      </c>
      <c r="AA37" s="1">
        <v>0.39</v>
      </c>
      <c r="AB37" s="47">
        <f t="shared" si="25"/>
        <v>0.17690088000000001</v>
      </c>
      <c r="AC37" s="1">
        <v>8.1999999999999993</v>
      </c>
      <c r="AD37" s="1">
        <v>0.27</v>
      </c>
      <c r="AE37" s="6">
        <v>0.16</v>
      </c>
    </row>
    <row r="38" spans="1:31">
      <c r="A38" s="13"/>
      <c r="B38" s="8"/>
      <c r="C38" s="47" t="str">
        <f t="shared" si="1"/>
        <v/>
      </c>
      <c r="F38" s="8">
        <v>12</v>
      </c>
      <c r="G38" s="8" t="s">
        <v>9</v>
      </c>
      <c r="J38" s="34">
        <v>12.27</v>
      </c>
      <c r="K38" s="35">
        <v>11.6</v>
      </c>
      <c r="L38" s="35">
        <v>0.3</v>
      </c>
      <c r="M38" s="35">
        <v>1.88</v>
      </c>
      <c r="N38" s="35">
        <v>5.5E-2</v>
      </c>
      <c r="O38" s="36">
        <v>3.3000000000000002E-2</v>
      </c>
      <c r="P38" s="51">
        <f t="shared" si="17"/>
        <v>5.5655738399999999</v>
      </c>
      <c r="Q38" s="51">
        <f t="shared" si="18"/>
        <v>11.6</v>
      </c>
      <c r="R38" s="51">
        <f t="shared" si="19"/>
        <v>0.13607759999999999</v>
      </c>
      <c r="S38" s="51">
        <f t="shared" si="20"/>
        <v>0.85275295999999989</v>
      </c>
      <c r="T38" s="51">
        <f t="shared" si="21"/>
        <v>2.4947560000000001E-2</v>
      </c>
      <c r="U38" s="51">
        <f t="shared" si="22"/>
        <v>1.4968536000000001E-2</v>
      </c>
      <c r="V38" s="34">
        <v>20.9</v>
      </c>
      <c r="W38" s="51">
        <f t="shared" si="23"/>
        <v>9.4800727999999985</v>
      </c>
      <c r="X38" s="46">
        <v>58.8</v>
      </c>
      <c r="Y38" s="56">
        <v>0.57999999999999996</v>
      </c>
      <c r="Z38" s="47">
        <f t="shared" si="24"/>
        <v>0.26308335999999999</v>
      </c>
      <c r="AA38" s="8">
        <v>0.39</v>
      </c>
      <c r="AB38" s="47">
        <f t="shared" si="25"/>
        <v>0.17690088000000001</v>
      </c>
      <c r="AC38" s="8">
        <v>9</v>
      </c>
      <c r="AD38" s="8">
        <v>0.26</v>
      </c>
      <c r="AE38" s="9">
        <v>0.16</v>
      </c>
    </row>
    <row r="39" spans="1:31">
      <c r="C39" s="47" t="str">
        <f t="shared" si="1"/>
        <v/>
      </c>
      <c r="P39" s="51">
        <f t="shared" si="17"/>
        <v>0</v>
      </c>
      <c r="Q39" s="51">
        <f t="shared" si="18"/>
        <v>0</v>
      </c>
      <c r="R39" s="51">
        <f t="shared" si="19"/>
        <v>0</v>
      </c>
      <c r="S39" s="51">
        <f t="shared" si="20"/>
        <v>0</v>
      </c>
      <c r="T39" s="51">
        <f t="shared" si="21"/>
        <v>0</v>
      </c>
      <c r="U39" s="51">
        <f t="shared" si="22"/>
        <v>0</v>
      </c>
    </row>
    <row r="40" spans="1:31">
      <c r="A40" s="11"/>
      <c r="B40" s="10"/>
      <c r="C40" s="47" t="str">
        <f t="shared" si="1"/>
        <v/>
      </c>
      <c r="F40" s="10"/>
      <c r="G40" s="10"/>
      <c r="H40" s="10"/>
      <c r="I40" s="57"/>
      <c r="J40" s="26" t="s">
        <v>10</v>
      </c>
      <c r="K40" s="27"/>
      <c r="L40" s="27"/>
      <c r="M40" s="27"/>
      <c r="N40" s="27"/>
      <c r="O40" s="28"/>
      <c r="P40" s="51" t="e">
        <f t="shared" si="17"/>
        <v>#VALUE!</v>
      </c>
      <c r="Q40" s="51">
        <f t="shared" si="18"/>
        <v>0</v>
      </c>
      <c r="R40" s="51">
        <f t="shared" si="19"/>
        <v>0</v>
      </c>
      <c r="S40" s="51">
        <f t="shared" si="20"/>
        <v>0</v>
      </c>
      <c r="T40" s="51">
        <f t="shared" si="21"/>
        <v>0</v>
      </c>
      <c r="U40" s="51">
        <f t="shared" si="22"/>
        <v>0</v>
      </c>
      <c r="V40" s="20" t="s">
        <v>21</v>
      </c>
      <c r="W40" s="21"/>
      <c r="X40" s="21"/>
      <c r="Y40" s="21"/>
      <c r="Z40" s="21"/>
      <c r="AA40" s="21"/>
      <c r="AB40" s="21"/>
      <c r="AC40" s="21"/>
      <c r="AD40" s="21"/>
      <c r="AE40" s="22"/>
    </row>
    <row r="41" spans="1:31" ht="26">
      <c r="A41" s="12" t="s">
        <v>25</v>
      </c>
      <c r="B41" s="2" t="s">
        <v>27</v>
      </c>
      <c r="C41" s="47" t="s">
        <v>132</v>
      </c>
      <c r="F41" s="2" t="s">
        <v>26</v>
      </c>
      <c r="G41" s="2"/>
      <c r="H41" s="2" t="s">
        <v>28</v>
      </c>
      <c r="I41" s="45" t="s">
        <v>131</v>
      </c>
      <c r="J41" s="29" t="s">
        <v>11</v>
      </c>
      <c r="K41" s="30" t="s">
        <v>23</v>
      </c>
      <c r="L41" s="30" t="s">
        <v>24</v>
      </c>
      <c r="M41" s="30" t="s">
        <v>12</v>
      </c>
      <c r="N41" s="30" t="s">
        <v>13</v>
      </c>
      <c r="O41" s="31" t="s">
        <v>14</v>
      </c>
      <c r="P41" s="48" t="s">
        <v>130</v>
      </c>
      <c r="Q41" s="49" t="s">
        <v>23</v>
      </c>
      <c r="R41" s="49" t="s">
        <v>129</v>
      </c>
      <c r="S41" s="49" t="s">
        <v>117</v>
      </c>
      <c r="T41" s="49" t="s">
        <v>118</v>
      </c>
      <c r="U41" s="50" t="s">
        <v>119</v>
      </c>
      <c r="V41" s="29" t="s">
        <v>15</v>
      </c>
      <c r="W41" s="48" t="s">
        <v>120</v>
      </c>
      <c r="X41" s="45" t="s">
        <v>16</v>
      </c>
      <c r="Y41" s="55" t="s">
        <v>17</v>
      </c>
      <c r="Z41" s="49" t="s">
        <v>126</v>
      </c>
      <c r="AA41" s="2" t="s">
        <v>24</v>
      </c>
      <c r="AB41" s="49" t="s">
        <v>127</v>
      </c>
      <c r="AC41" s="2" t="s">
        <v>18</v>
      </c>
      <c r="AD41" s="2" t="s">
        <v>19</v>
      </c>
      <c r="AE41" s="4" t="s">
        <v>20</v>
      </c>
    </row>
    <row r="42" spans="1:31">
      <c r="A42" s="3"/>
      <c r="B42" s="1">
        <v>1300</v>
      </c>
      <c r="C42" s="47">
        <f t="shared" si="1"/>
        <v>589.66959999999995</v>
      </c>
      <c r="F42" s="1">
        <v>1</v>
      </c>
      <c r="H42" s="1">
        <v>816</v>
      </c>
      <c r="I42" s="44">
        <f>IF(H42&gt;0,(H42*$B$1),"")</f>
        <v>370.13107200000002</v>
      </c>
      <c r="J42" s="32">
        <v>10.07</v>
      </c>
      <c r="K42" s="25">
        <v>6.6</v>
      </c>
      <c r="L42" s="25">
        <v>1.9</v>
      </c>
      <c r="M42" s="25">
        <v>1.54</v>
      </c>
      <c r="N42" s="25">
        <v>4.9000000000000002E-2</v>
      </c>
      <c r="O42" s="33">
        <v>2.8000000000000001E-2</v>
      </c>
      <c r="P42" s="51">
        <f t="shared" si="17"/>
        <v>4.5676714399999998</v>
      </c>
      <c r="Q42" s="51">
        <f t="shared" si="18"/>
        <v>6.6</v>
      </c>
      <c r="R42" s="51">
        <f t="shared" si="19"/>
        <v>0.86182479999999995</v>
      </c>
      <c r="S42" s="51">
        <f t="shared" si="20"/>
        <v>0.69853167999999999</v>
      </c>
      <c r="T42" s="51">
        <f t="shared" si="21"/>
        <v>2.2226008000000002E-2</v>
      </c>
      <c r="U42" s="51">
        <f t="shared" si="22"/>
        <v>1.2700576E-2</v>
      </c>
      <c r="V42" s="32">
        <v>17</v>
      </c>
      <c r="W42" s="51">
        <f>V42*$B$1</f>
        <v>7.7110640000000004</v>
      </c>
      <c r="X42" s="44">
        <v>59.4</v>
      </c>
      <c r="Y42" s="54">
        <v>0.59</v>
      </c>
      <c r="Z42" s="47">
        <f>IF(Y42&gt;0,(Y42*$B$1),"")</f>
        <v>0.26761927999999996</v>
      </c>
      <c r="AA42" s="1">
        <v>0.33</v>
      </c>
      <c r="AB42" s="47">
        <f>IF(AA42&gt;0,(AA42*$B$1),"")</f>
        <v>0.14968536000000002</v>
      </c>
      <c r="AC42" s="1">
        <v>9.1</v>
      </c>
      <c r="AD42" s="1">
        <v>0.28999999999999998</v>
      </c>
      <c r="AE42" s="6">
        <v>0.17</v>
      </c>
    </row>
    <row r="43" spans="1:31">
      <c r="A43" s="3"/>
      <c r="C43" s="47" t="str">
        <f t="shared" si="1"/>
        <v/>
      </c>
      <c r="F43" s="1">
        <v>2</v>
      </c>
      <c r="I43" s="44" t="str">
        <f t="shared" ref="I43:I50" si="26">IF(H43&gt;0,(H43*$B$1),"")</f>
        <v/>
      </c>
      <c r="J43" s="32">
        <v>10.45</v>
      </c>
      <c r="K43" s="25">
        <v>6.9</v>
      </c>
      <c r="L43" s="25">
        <v>1.9</v>
      </c>
      <c r="M43" s="25">
        <v>1.57</v>
      </c>
      <c r="N43" s="25">
        <v>4.9000000000000002E-2</v>
      </c>
      <c r="O43" s="33">
        <v>2.9000000000000001E-2</v>
      </c>
      <c r="P43" s="51">
        <f t="shared" si="17"/>
        <v>4.7400363999999993</v>
      </c>
      <c r="Q43" s="51">
        <f t="shared" si="18"/>
        <v>6.9</v>
      </c>
      <c r="R43" s="51">
        <f t="shared" si="19"/>
        <v>0.86182479999999995</v>
      </c>
      <c r="S43" s="51">
        <f t="shared" si="20"/>
        <v>0.71213944000000007</v>
      </c>
      <c r="T43" s="51">
        <f t="shared" si="21"/>
        <v>2.2226008000000002E-2</v>
      </c>
      <c r="U43" s="51">
        <f t="shared" si="22"/>
        <v>1.3154168000000001E-2</v>
      </c>
      <c r="V43" s="32">
        <v>17.5</v>
      </c>
      <c r="W43" s="51">
        <f t="shared" ref="W43:W50" si="27">V43*$B$1</f>
        <v>7.9378599999999997</v>
      </c>
      <c r="X43" s="44">
        <v>59.6</v>
      </c>
      <c r="Y43" s="54">
        <v>0.59</v>
      </c>
      <c r="Z43" s="47">
        <f t="shared" ref="Z43:Z50" si="28">IF(Y43&gt;0,(Y43*$B$1),"")</f>
        <v>0.26761927999999996</v>
      </c>
      <c r="AA43" s="1">
        <v>0.33</v>
      </c>
      <c r="AB43" s="47">
        <f t="shared" ref="AB43:AB50" si="29">IF(AA43&gt;0,(AA43*$B$1),"")</f>
        <v>0.14968536000000002</v>
      </c>
      <c r="AC43" s="1">
        <v>8.9</v>
      </c>
      <c r="AD43" s="1">
        <v>0.28000000000000003</v>
      </c>
      <c r="AE43" s="6">
        <v>0.16</v>
      </c>
    </row>
    <row r="44" spans="1:31">
      <c r="A44" s="3"/>
      <c r="C44" s="47" t="str">
        <f t="shared" si="1"/>
        <v/>
      </c>
      <c r="F44" s="1">
        <v>3</v>
      </c>
      <c r="I44" s="44" t="str">
        <f t="shared" si="26"/>
        <v/>
      </c>
      <c r="J44" s="32">
        <v>10.75</v>
      </c>
      <c r="K44" s="25">
        <v>7.1</v>
      </c>
      <c r="L44" s="25">
        <v>2</v>
      </c>
      <c r="M44" s="25">
        <v>1.6</v>
      </c>
      <c r="N44" s="25">
        <v>0.05</v>
      </c>
      <c r="O44" s="33">
        <v>2.9000000000000001E-2</v>
      </c>
      <c r="P44" s="51">
        <f t="shared" si="17"/>
        <v>4.8761140000000003</v>
      </c>
      <c r="Q44" s="51">
        <f t="shared" si="18"/>
        <v>7.1</v>
      </c>
      <c r="R44" s="51">
        <f t="shared" si="19"/>
        <v>0.90718399999999999</v>
      </c>
      <c r="S44" s="51">
        <f t="shared" si="20"/>
        <v>0.72574720000000004</v>
      </c>
      <c r="T44" s="51">
        <f t="shared" si="21"/>
        <v>2.2679600000000001E-2</v>
      </c>
      <c r="U44" s="51">
        <f t="shared" si="22"/>
        <v>1.3154168000000001E-2</v>
      </c>
      <c r="V44" s="32">
        <v>18</v>
      </c>
      <c r="W44" s="51">
        <f t="shared" si="27"/>
        <v>8.1646560000000008</v>
      </c>
      <c r="X44" s="44">
        <v>59.6</v>
      </c>
      <c r="Y44" s="54">
        <v>0.59</v>
      </c>
      <c r="Z44" s="47">
        <f t="shared" si="28"/>
        <v>0.26761927999999996</v>
      </c>
      <c r="AA44" s="1">
        <v>0.33</v>
      </c>
      <c r="AB44" s="47">
        <f t="shared" si="29"/>
        <v>0.14968536000000002</v>
      </c>
      <c r="AC44" s="1">
        <v>8.8000000000000007</v>
      </c>
      <c r="AD44" s="1">
        <v>0.28000000000000003</v>
      </c>
      <c r="AE44" s="6">
        <v>0.16</v>
      </c>
    </row>
    <row r="45" spans="1:31">
      <c r="A45" s="3"/>
      <c r="C45" s="47" t="str">
        <f t="shared" si="1"/>
        <v/>
      </c>
      <c r="F45" s="1">
        <v>4</v>
      </c>
      <c r="I45" s="44" t="str">
        <f t="shared" si="26"/>
        <v/>
      </c>
      <c r="J45" s="32">
        <v>11.18</v>
      </c>
      <c r="K45" s="25">
        <v>7.5</v>
      </c>
      <c r="L45" s="25">
        <v>2</v>
      </c>
      <c r="M45" s="25">
        <v>1.63</v>
      </c>
      <c r="N45" s="25">
        <v>0.05</v>
      </c>
      <c r="O45" s="33">
        <v>0.03</v>
      </c>
      <c r="P45" s="51">
        <f t="shared" si="17"/>
        <v>5.0711585599999998</v>
      </c>
      <c r="Q45" s="51">
        <f t="shared" si="18"/>
        <v>7.5</v>
      </c>
      <c r="R45" s="51">
        <f t="shared" si="19"/>
        <v>0.90718399999999999</v>
      </c>
      <c r="S45" s="51">
        <f t="shared" si="20"/>
        <v>0.73935495999999989</v>
      </c>
      <c r="T45" s="51">
        <f t="shared" si="21"/>
        <v>2.2679600000000001E-2</v>
      </c>
      <c r="U45" s="51">
        <f t="shared" si="22"/>
        <v>1.360776E-2</v>
      </c>
      <c r="V45" s="32">
        <v>18.600000000000001</v>
      </c>
      <c r="W45" s="51">
        <f t="shared" si="27"/>
        <v>8.4368112000000011</v>
      </c>
      <c r="X45" s="44">
        <v>60</v>
      </c>
      <c r="Y45" s="54">
        <v>0.59</v>
      </c>
      <c r="Z45" s="47">
        <f t="shared" si="28"/>
        <v>0.26761927999999996</v>
      </c>
      <c r="AA45" s="1">
        <v>0.33</v>
      </c>
      <c r="AB45" s="47">
        <f t="shared" si="29"/>
        <v>0.14968536000000002</v>
      </c>
      <c r="AC45" s="1">
        <v>8.8000000000000007</v>
      </c>
      <c r="AD45" s="1">
        <v>0.27</v>
      </c>
      <c r="AE45" s="6">
        <v>0.16</v>
      </c>
    </row>
    <row r="46" spans="1:31">
      <c r="A46" s="3"/>
      <c r="C46" s="47" t="str">
        <f t="shared" si="1"/>
        <v/>
      </c>
      <c r="F46" s="1">
        <v>5</v>
      </c>
      <c r="I46" s="44" t="str">
        <f t="shared" si="26"/>
        <v/>
      </c>
      <c r="J46" s="32">
        <v>11.6</v>
      </c>
      <c r="K46" s="25">
        <v>7.9</v>
      </c>
      <c r="L46" s="25">
        <v>2.1</v>
      </c>
      <c r="M46" s="25">
        <v>1.69</v>
      </c>
      <c r="N46" s="25">
        <v>5.0999999999999997E-2</v>
      </c>
      <c r="O46" s="33">
        <v>3.1E-2</v>
      </c>
      <c r="P46" s="51">
        <f t="shared" si="17"/>
        <v>5.2616671999999998</v>
      </c>
      <c r="Q46" s="51">
        <f t="shared" si="18"/>
        <v>7.9</v>
      </c>
      <c r="R46" s="51">
        <f t="shared" si="19"/>
        <v>0.95254320000000003</v>
      </c>
      <c r="S46" s="51">
        <f t="shared" si="20"/>
        <v>0.76657047999999994</v>
      </c>
      <c r="T46" s="51">
        <f t="shared" si="21"/>
        <v>2.3133191999999997E-2</v>
      </c>
      <c r="U46" s="51">
        <f t="shared" si="22"/>
        <v>1.4061351999999999E-2</v>
      </c>
      <c r="V46" s="32">
        <v>19.2</v>
      </c>
      <c r="W46" s="51">
        <f t="shared" si="27"/>
        <v>8.7089663999999996</v>
      </c>
      <c r="X46" s="44">
        <v>60.3</v>
      </c>
      <c r="Y46" s="54">
        <v>0.6</v>
      </c>
      <c r="Z46" s="47">
        <f t="shared" si="28"/>
        <v>0.27215519999999999</v>
      </c>
      <c r="AA46" s="1">
        <v>0.34</v>
      </c>
      <c r="AB46" s="47">
        <f t="shared" si="29"/>
        <v>0.15422128000000002</v>
      </c>
      <c r="AC46" s="1">
        <v>8.8000000000000007</v>
      </c>
      <c r="AD46" s="1">
        <v>0.26</v>
      </c>
      <c r="AE46" s="6">
        <v>0.16</v>
      </c>
    </row>
    <row r="47" spans="1:31">
      <c r="A47" s="3"/>
      <c r="C47" s="47" t="str">
        <f t="shared" si="1"/>
        <v/>
      </c>
      <c r="F47" s="1">
        <v>6</v>
      </c>
      <c r="I47" s="44" t="str">
        <f t="shared" si="26"/>
        <v/>
      </c>
      <c r="J47" s="32">
        <v>12.13</v>
      </c>
      <c r="K47" s="25">
        <v>8.5</v>
      </c>
      <c r="L47" s="25">
        <v>2.1</v>
      </c>
      <c r="M47" s="25">
        <v>1.76</v>
      </c>
      <c r="N47" s="25">
        <v>5.1999999999999998E-2</v>
      </c>
      <c r="O47" s="33">
        <v>3.1E-2</v>
      </c>
      <c r="P47" s="51">
        <f t="shared" si="17"/>
        <v>5.5020709600000002</v>
      </c>
      <c r="Q47" s="51">
        <f t="shared" si="18"/>
        <v>8.5</v>
      </c>
      <c r="R47" s="51">
        <f t="shared" si="19"/>
        <v>0.95254320000000003</v>
      </c>
      <c r="S47" s="51">
        <f t="shared" si="20"/>
        <v>0.79832192000000002</v>
      </c>
      <c r="T47" s="51">
        <f t="shared" si="21"/>
        <v>2.3586784E-2</v>
      </c>
      <c r="U47" s="51">
        <f t="shared" si="22"/>
        <v>1.4061351999999999E-2</v>
      </c>
      <c r="V47" s="32">
        <v>19.899999999999999</v>
      </c>
      <c r="W47" s="51">
        <f t="shared" si="27"/>
        <v>9.0264807999999999</v>
      </c>
      <c r="X47" s="44">
        <v>61</v>
      </c>
      <c r="Y47" s="54">
        <v>0.61</v>
      </c>
      <c r="Z47" s="47">
        <f t="shared" si="28"/>
        <v>0.27669112000000001</v>
      </c>
      <c r="AA47" s="1">
        <v>0.35</v>
      </c>
      <c r="AB47" s="47">
        <f t="shared" si="29"/>
        <v>0.15875719999999999</v>
      </c>
      <c r="AC47" s="1">
        <v>8.9</v>
      </c>
      <c r="AD47" s="1">
        <v>0.26</v>
      </c>
      <c r="AE47" s="6">
        <v>0.16</v>
      </c>
    </row>
    <row r="48" spans="1:31">
      <c r="A48" s="3"/>
      <c r="C48" s="47" t="str">
        <f t="shared" si="1"/>
        <v/>
      </c>
      <c r="F48" s="1">
        <v>7</v>
      </c>
      <c r="I48" s="44" t="str">
        <f t="shared" si="26"/>
        <v/>
      </c>
      <c r="J48" s="32">
        <v>12.76</v>
      </c>
      <c r="K48" s="25">
        <v>9.3000000000000007</v>
      </c>
      <c r="L48" s="25">
        <v>2.1</v>
      </c>
      <c r="M48" s="25">
        <v>1.88</v>
      </c>
      <c r="N48" s="25">
        <v>7.3999999999999996E-2</v>
      </c>
      <c r="O48" s="33">
        <v>4.1000000000000002E-2</v>
      </c>
      <c r="P48" s="51">
        <f t="shared" si="17"/>
        <v>5.7878339199999997</v>
      </c>
      <c r="Q48" s="51">
        <f t="shared" si="18"/>
        <v>9.3000000000000007</v>
      </c>
      <c r="R48" s="51">
        <f t="shared" si="19"/>
        <v>0.95254320000000003</v>
      </c>
      <c r="S48" s="51">
        <f t="shared" si="20"/>
        <v>0.85275295999999989</v>
      </c>
      <c r="T48" s="51">
        <f t="shared" si="21"/>
        <v>3.3565807999999996E-2</v>
      </c>
      <c r="U48" s="51">
        <f t="shared" si="22"/>
        <v>1.8597272000000001E-2</v>
      </c>
      <c r="V48" s="32">
        <v>20.6</v>
      </c>
      <c r="W48" s="51">
        <f t="shared" si="27"/>
        <v>9.3439952000000002</v>
      </c>
      <c r="X48" s="44">
        <v>62</v>
      </c>
      <c r="Y48" s="54">
        <v>0.63</v>
      </c>
      <c r="Z48" s="47">
        <f t="shared" si="28"/>
        <v>0.28576296000000001</v>
      </c>
      <c r="AA48" s="1">
        <v>0.36</v>
      </c>
      <c r="AB48" s="47">
        <f t="shared" si="29"/>
        <v>0.16329311999999999</v>
      </c>
      <c r="AC48" s="1">
        <v>9.1</v>
      </c>
      <c r="AD48" s="1">
        <v>0.36</v>
      </c>
      <c r="AE48" s="6">
        <v>0.2</v>
      </c>
    </row>
    <row r="49" spans="1:31">
      <c r="A49" s="3"/>
      <c r="C49" s="47" t="str">
        <f t="shared" si="1"/>
        <v/>
      </c>
      <c r="F49" s="1">
        <v>8</v>
      </c>
      <c r="I49" s="44" t="str">
        <f t="shared" si="26"/>
        <v/>
      </c>
      <c r="J49" s="32">
        <v>13.61</v>
      </c>
      <c r="K49" s="25">
        <v>10.5</v>
      </c>
      <c r="L49" s="25">
        <v>2</v>
      </c>
      <c r="M49" s="25">
        <v>2.06</v>
      </c>
      <c r="N49" s="25">
        <v>7.5999999999999998E-2</v>
      </c>
      <c r="O49" s="33">
        <v>4.2000000000000003E-2</v>
      </c>
      <c r="P49" s="51">
        <f t="shared" si="17"/>
        <v>6.1733871200000001</v>
      </c>
      <c r="Q49" s="51">
        <f t="shared" si="18"/>
        <v>10.5</v>
      </c>
      <c r="R49" s="51">
        <f t="shared" si="19"/>
        <v>0.90718399999999999</v>
      </c>
      <c r="S49" s="51">
        <f t="shared" si="20"/>
        <v>0.93439952000000004</v>
      </c>
      <c r="T49" s="51">
        <f t="shared" si="21"/>
        <v>3.4472992000000001E-2</v>
      </c>
      <c r="U49" s="51">
        <f t="shared" si="22"/>
        <v>1.9050864000000001E-2</v>
      </c>
      <c r="V49" s="32">
        <v>21.4</v>
      </c>
      <c r="W49" s="51">
        <f t="shared" si="27"/>
        <v>9.7068687999999987</v>
      </c>
      <c r="X49" s="44">
        <v>63.5</v>
      </c>
      <c r="Y49" s="54">
        <v>0.65</v>
      </c>
      <c r="Z49" s="47">
        <f t="shared" si="28"/>
        <v>0.29483480000000001</v>
      </c>
      <c r="AA49" s="1">
        <v>0.38</v>
      </c>
      <c r="AB49" s="47">
        <f t="shared" si="29"/>
        <v>0.17236496000000001</v>
      </c>
      <c r="AC49" s="1">
        <v>9.6</v>
      </c>
      <c r="AD49" s="1">
        <v>0.35</v>
      </c>
      <c r="AE49" s="6">
        <v>0.2</v>
      </c>
    </row>
    <row r="50" spans="1:31">
      <c r="A50" s="3"/>
      <c r="C50" s="47" t="str">
        <f t="shared" si="1"/>
        <v/>
      </c>
      <c r="F50" s="1">
        <v>9</v>
      </c>
      <c r="H50" s="1">
        <v>1205</v>
      </c>
      <c r="I50" s="44">
        <f t="shared" si="26"/>
        <v>546.57835999999998</v>
      </c>
      <c r="J50" s="34">
        <v>14.66</v>
      </c>
      <c r="K50" s="35">
        <v>12.1</v>
      </c>
      <c r="L50" s="35">
        <v>1.8</v>
      </c>
      <c r="M50" s="35">
        <v>2.35</v>
      </c>
      <c r="N50" s="35">
        <v>7.8E-2</v>
      </c>
      <c r="O50" s="36">
        <v>4.2999999999999997E-2</v>
      </c>
      <c r="P50" s="51">
        <f t="shared" si="17"/>
        <v>6.6496587199999997</v>
      </c>
      <c r="Q50" s="51">
        <f t="shared" si="18"/>
        <v>12.1</v>
      </c>
      <c r="R50" s="51">
        <f t="shared" si="19"/>
        <v>0.81646560000000001</v>
      </c>
      <c r="S50" s="51">
        <f t="shared" si="20"/>
        <v>1.0659411999999999</v>
      </c>
      <c r="T50" s="51">
        <f t="shared" si="21"/>
        <v>3.5380175999999999E-2</v>
      </c>
      <c r="U50" s="51">
        <f t="shared" si="22"/>
        <v>1.9504456E-2</v>
      </c>
      <c r="V50" s="34">
        <v>22.4</v>
      </c>
      <c r="W50" s="51">
        <f t="shared" si="27"/>
        <v>10.160460799999999</v>
      </c>
      <c r="X50" s="46">
        <v>65.400000000000006</v>
      </c>
      <c r="Y50" s="56">
        <v>0.68</v>
      </c>
      <c r="Z50" s="47">
        <f t="shared" si="28"/>
        <v>0.30844256000000003</v>
      </c>
      <c r="AA50" s="8">
        <v>0.41</v>
      </c>
      <c r="AB50" s="47">
        <f>IF(AA50&gt;0,(AA50*$B$1),"")</f>
        <v>0.18597271999999998</v>
      </c>
      <c r="AC50" s="8">
        <v>10.5</v>
      </c>
      <c r="AD50" s="8">
        <v>0.35</v>
      </c>
      <c r="AE50" s="9">
        <v>0.19</v>
      </c>
    </row>
    <row r="51" spans="1:31">
      <c r="A51" s="13"/>
      <c r="B51" s="8"/>
      <c r="C51" s="47" t="str">
        <f t="shared" si="1"/>
        <v/>
      </c>
      <c r="D51" s="8"/>
      <c r="E51" s="52"/>
      <c r="F51" s="8"/>
      <c r="G51" s="8"/>
      <c r="H51" s="8"/>
      <c r="I51" s="46"/>
      <c r="J51" s="35"/>
      <c r="K51" s="35"/>
      <c r="L51" s="35"/>
      <c r="M51" s="35"/>
      <c r="N51" s="35"/>
      <c r="O51" s="35"/>
      <c r="P51" s="51">
        <f t="shared" si="17"/>
        <v>0</v>
      </c>
      <c r="Q51" s="51">
        <f t="shared" si="18"/>
        <v>0</v>
      </c>
      <c r="R51" s="51">
        <f t="shared" si="19"/>
        <v>0</v>
      </c>
      <c r="S51" s="51">
        <f t="shared" si="20"/>
        <v>0</v>
      </c>
      <c r="T51" s="51">
        <f t="shared" si="21"/>
        <v>0</v>
      </c>
      <c r="U51" s="51">
        <f t="shared" si="22"/>
        <v>0</v>
      </c>
      <c r="V51" s="35"/>
      <c r="W51" s="52"/>
      <c r="X51" s="46"/>
      <c r="Y51" s="56"/>
      <c r="Z51" s="52"/>
      <c r="AA51" s="8"/>
      <c r="AB51" s="52"/>
      <c r="AC51" s="8"/>
      <c r="AD51" s="8"/>
      <c r="AE51" s="9"/>
    </row>
    <row r="52" spans="1:31">
      <c r="A52" s="11"/>
      <c r="B52" s="10"/>
      <c r="C52" s="47" t="str">
        <f t="shared" si="1"/>
        <v/>
      </c>
      <c r="D52" s="10"/>
      <c r="E52" s="53"/>
      <c r="F52" s="10"/>
      <c r="G52" s="10"/>
      <c r="H52" s="10"/>
      <c r="I52" s="57"/>
      <c r="J52" s="26" t="s">
        <v>10</v>
      </c>
      <c r="K52" s="27"/>
      <c r="L52" s="27"/>
      <c r="M52" s="27"/>
      <c r="N52" s="27"/>
      <c r="O52" s="28"/>
      <c r="P52" s="51" t="e">
        <f t="shared" si="17"/>
        <v>#VALUE!</v>
      </c>
      <c r="Q52" s="51">
        <f t="shared" si="18"/>
        <v>0</v>
      </c>
      <c r="R52" s="51">
        <f t="shared" si="19"/>
        <v>0</v>
      </c>
      <c r="S52" s="51">
        <f t="shared" si="20"/>
        <v>0</v>
      </c>
      <c r="T52" s="51">
        <f t="shared" si="21"/>
        <v>0</v>
      </c>
      <c r="U52" s="51">
        <f t="shared" si="22"/>
        <v>0</v>
      </c>
      <c r="V52" s="20" t="s">
        <v>21</v>
      </c>
      <c r="W52" s="21"/>
      <c r="X52" s="21"/>
      <c r="Y52" s="21"/>
      <c r="Z52" s="21"/>
      <c r="AA52" s="21"/>
      <c r="AB52" s="21"/>
      <c r="AC52" s="21"/>
      <c r="AD52" s="21"/>
      <c r="AE52" s="22"/>
    </row>
    <row r="53" spans="1:31" ht="39">
      <c r="A53" s="12" t="s">
        <v>29</v>
      </c>
      <c r="B53" s="2" t="s">
        <v>27</v>
      </c>
      <c r="C53" s="47" t="s">
        <v>132</v>
      </c>
      <c r="D53" s="2" t="s">
        <v>31</v>
      </c>
      <c r="E53" s="49" t="s">
        <v>128</v>
      </c>
      <c r="F53" s="2"/>
      <c r="G53" s="2"/>
      <c r="H53" s="2" t="s">
        <v>30</v>
      </c>
      <c r="I53" s="45" t="s">
        <v>133</v>
      </c>
      <c r="J53" s="29" t="s">
        <v>11</v>
      </c>
      <c r="K53" s="30" t="s">
        <v>23</v>
      </c>
      <c r="L53" s="30" t="s">
        <v>24</v>
      </c>
      <c r="M53" s="30" t="s">
        <v>12</v>
      </c>
      <c r="N53" s="30" t="s">
        <v>13</v>
      </c>
      <c r="O53" s="31" t="s">
        <v>14</v>
      </c>
      <c r="P53" s="48" t="s">
        <v>130</v>
      </c>
      <c r="Q53" s="49" t="s">
        <v>23</v>
      </c>
      <c r="R53" s="49" t="s">
        <v>129</v>
      </c>
      <c r="S53" s="49" t="s">
        <v>117</v>
      </c>
      <c r="T53" s="49" t="s">
        <v>118</v>
      </c>
      <c r="U53" s="50" t="s">
        <v>119</v>
      </c>
      <c r="V53" s="29" t="s">
        <v>15</v>
      </c>
      <c r="W53" s="48" t="s">
        <v>120</v>
      </c>
      <c r="X53" s="45" t="s">
        <v>16</v>
      </c>
      <c r="Y53" s="55" t="s">
        <v>17</v>
      </c>
      <c r="Z53" s="49" t="s">
        <v>126</v>
      </c>
      <c r="AA53" s="2" t="s">
        <v>24</v>
      </c>
      <c r="AB53" s="49" t="s">
        <v>127</v>
      </c>
      <c r="AC53" s="2" t="s">
        <v>18</v>
      </c>
      <c r="AD53" s="2" t="s">
        <v>19</v>
      </c>
      <c r="AE53" s="4" t="s">
        <v>20</v>
      </c>
    </row>
    <row r="54" spans="1:31">
      <c r="A54" s="3"/>
      <c r="B54" s="1">
        <v>1300</v>
      </c>
      <c r="C54" s="47">
        <f t="shared" si="1"/>
        <v>589.66959999999995</v>
      </c>
      <c r="D54" s="1">
        <v>400</v>
      </c>
      <c r="E54" s="47">
        <f>IF(D54&gt;0,(D54*$B$1),"")</f>
        <v>181.43680000000001</v>
      </c>
      <c r="H54" s="1">
        <v>1</v>
      </c>
      <c r="I54" s="47">
        <f>IF(H54&gt;0,(H54*$B$1),"")</f>
        <v>0.453592</v>
      </c>
      <c r="J54" s="32">
        <v>5.67</v>
      </c>
      <c r="K54" s="25">
        <v>3.9</v>
      </c>
      <c r="L54" s="25">
        <v>1</v>
      </c>
      <c r="M54" s="25">
        <v>1.04</v>
      </c>
      <c r="N54" s="25">
        <v>0.04</v>
      </c>
      <c r="O54" s="33">
        <v>0.02</v>
      </c>
      <c r="P54" s="51">
        <f t="shared" si="17"/>
        <v>2.5718666400000001</v>
      </c>
      <c r="Q54" s="51">
        <f t="shared" si="18"/>
        <v>3.9</v>
      </c>
      <c r="R54" s="51">
        <f t="shared" si="19"/>
        <v>0.453592</v>
      </c>
      <c r="S54" s="51">
        <f t="shared" si="20"/>
        <v>0.47173567999999999</v>
      </c>
      <c r="T54" s="51">
        <f t="shared" si="21"/>
        <v>1.8143679999999999E-2</v>
      </c>
      <c r="U54" s="51">
        <f t="shared" si="22"/>
        <v>9.0718399999999994E-3</v>
      </c>
      <c r="V54" s="32">
        <v>9.5</v>
      </c>
      <c r="W54" s="51">
        <f>V54*$B$1</f>
        <v>4.3091239999999997</v>
      </c>
      <c r="X54" s="44">
        <v>59.5</v>
      </c>
      <c r="Y54" s="54">
        <v>0.59</v>
      </c>
      <c r="Z54" s="47">
        <f>IF(Y54&gt;0,(AA54*$B$1),"")</f>
        <v>0.14968536000000002</v>
      </c>
      <c r="AA54" s="1">
        <v>0.33</v>
      </c>
      <c r="AB54" s="47">
        <f>IF(AA54&gt;0,(AA54*$B$1),"")</f>
        <v>0.14968536000000002</v>
      </c>
      <c r="AC54" s="1">
        <v>10.9</v>
      </c>
      <c r="AD54" s="1">
        <v>0.42</v>
      </c>
      <c r="AE54" s="6">
        <v>0.21</v>
      </c>
    </row>
    <row r="55" spans="1:31">
      <c r="A55" s="3"/>
      <c r="C55" s="47" t="str">
        <f t="shared" si="1"/>
        <v/>
      </c>
      <c r="D55" s="1">
        <v>500</v>
      </c>
      <c r="E55" s="47">
        <f t="shared" ref="E55:E118" si="30">IF(D55&gt;0,(D55*$B$1),"")</f>
        <v>226.79599999999999</v>
      </c>
      <c r="H55" s="1">
        <v>1</v>
      </c>
      <c r="I55" s="47">
        <f t="shared" ref="I55:I118" si="31">IF(H55&gt;0,(H55*$B$1),"")</f>
        <v>0.453592</v>
      </c>
      <c r="J55" s="32">
        <v>6.69</v>
      </c>
      <c r="K55" s="25">
        <v>4.5999999999999996</v>
      </c>
      <c r="L55" s="25">
        <v>1.2</v>
      </c>
      <c r="M55" s="25">
        <v>1.1200000000000001</v>
      </c>
      <c r="N55" s="25">
        <v>4.1000000000000002E-2</v>
      </c>
      <c r="O55" s="33">
        <v>2.1999999999999999E-2</v>
      </c>
      <c r="P55" s="51">
        <f t="shared" si="17"/>
        <v>3.0345304800000004</v>
      </c>
      <c r="Q55" s="51">
        <f t="shared" si="18"/>
        <v>4.5999999999999996</v>
      </c>
      <c r="R55" s="51">
        <f t="shared" si="19"/>
        <v>0.54431039999999997</v>
      </c>
      <c r="S55" s="51">
        <f t="shared" si="20"/>
        <v>0.50802304000000009</v>
      </c>
      <c r="T55" s="51">
        <f t="shared" si="21"/>
        <v>1.8597272000000001E-2</v>
      </c>
      <c r="U55" s="51">
        <f t="shared" si="22"/>
        <v>9.9790239999999995E-3</v>
      </c>
      <c r="V55" s="32">
        <v>11.3</v>
      </c>
      <c r="W55" s="51">
        <f t="shared" ref="W55:W68" si="32">V55*$B$1</f>
        <v>5.1255896000000005</v>
      </c>
      <c r="X55" s="44">
        <v>59.4</v>
      </c>
      <c r="Y55" s="54">
        <v>0.59</v>
      </c>
      <c r="Z55" s="47">
        <f t="shared" ref="Z55:Z68" si="33">IF(AA55&gt;0,(AA55*$B$1),"")</f>
        <v>0.14968536000000002</v>
      </c>
      <c r="AA55" s="1">
        <v>0.33</v>
      </c>
      <c r="AB55" s="47">
        <f t="shared" ref="AB55:AB68" si="34">IF(AA55&gt;0,(AA55*$B$1),"")</f>
        <v>0.14968536000000002</v>
      </c>
      <c r="AC55" s="1">
        <v>10</v>
      </c>
      <c r="AD55" s="1">
        <v>0.36</v>
      </c>
      <c r="AE55" s="6">
        <v>0.19</v>
      </c>
    </row>
    <row r="56" spans="1:31">
      <c r="A56" s="3"/>
      <c r="C56" s="47" t="str">
        <f t="shared" si="1"/>
        <v/>
      </c>
      <c r="D56" s="1">
        <v>600</v>
      </c>
      <c r="E56" s="47">
        <f t="shared" si="30"/>
        <v>272.15519999999998</v>
      </c>
      <c r="H56" s="1">
        <v>1</v>
      </c>
      <c r="I56" s="47">
        <f t="shared" si="31"/>
        <v>0.453592</v>
      </c>
      <c r="J56" s="32">
        <v>7.7</v>
      </c>
      <c r="K56" s="25">
        <v>5.3</v>
      </c>
      <c r="L56" s="25">
        <v>1.3</v>
      </c>
      <c r="M56" s="25">
        <v>1.2</v>
      </c>
      <c r="N56" s="25">
        <v>4.2000000000000003E-2</v>
      </c>
      <c r="O56" s="33">
        <v>2.4E-2</v>
      </c>
      <c r="P56" s="51">
        <f t="shared" si="17"/>
        <v>3.4926583999999998</v>
      </c>
      <c r="Q56" s="51">
        <f t="shared" si="18"/>
        <v>5.3</v>
      </c>
      <c r="R56" s="51">
        <f t="shared" si="19"/>
        <v>0.58966960000000002</v>
      </c>
      <c r="S56" s="51">
        <f t="shared" si="20"/>
        <v>0.54431039999999997</v>
      </c>
      <c r="T56" s="51">
        <f t="shared" si="21"/>
        <v>1.9050864000000001E-2</v>
      </c>
      <c r="U56" s="51">
        <f t="shared" si="22"/>
        <v>1.0886208E-2</v>
      </c>
      <c r="V56" s="32">
        <v>12.9</v>
      </c>
      <c r="W56" s="51">
        <f t="shared" si="32"/>
        <v>5.8513368000000003</v>
      </c>
      <c r="X56" s="44">
        <v>59.5</v>
      </c>
      <c r="Y56" s="54">
        <v>0.59</v>
      </c>
      <c r="Z56" s="47">
        <f t="shared" si="33"/>
        <v>0.14968536000000002</v>
      </c>
      <c r="AA56" s="1">
        <v>0.33</v>
      </c>
      <c r="AB56" s="47">
        <f t="shared" si="34"/>
        <v>0.14968536000000002</v>
      </c>
      <c r="AC56" s="1">
        <v>9.3000000000000007</v>
      </c>
      <c r="AD56" s="1">
        <v>0.33</v>
      </c>
      <c r="AE56" s="6">
        <v>0.18</v>
      </c>
    </row>
    <row r="57" spans="1:31">
      <c r="A57" s="3"/>
      <c r="C57" s="47" t="str">
        <f t="shared" si="1"/>
        <v/>
      </c>
      <c r="D57" s="1">
        <v>700</v>
      </c>
      <c r="E57" s="47">
        <f t="shared" si="30"/>
        <v>317.51440000000002</v>
      </c>
      <c r="H57" s="1">
        <v>1</v>
      </c>
      <c r="I57" s="47">
        <f t="shared" si="31"/>
        <v>0.453592</v>
      </c>
      <c r="J57" s="32">
        <v>8.61</v>
      </c>
      <c r="K57" s="25">
        <v>5.9</v>
      </c>
      <c r="L57" s="25">
        <v>1.5</v>
      </c>
      <c r="M57" s="25">
        <v>1.28</v>
      </c>
      <c r="N57" s="25">
        <v>4.3999999999999997E-2</v>
      </c>
      <c r="O57" s="33">
        <v>2.5000000000000001E-2</v>
      </c>
      <c r="P57" s="51">
        <f t="shared" si="17"/>
        <v>3.9054271199999997</v>
      </c>
      <c r="Q57" s="51">
        <f t="shared" si="18"/>
        <v>5.9</v>
      </c>
      <c r="R57" s="51">
        <f t="shared" si="19"/>
        <v>0.68038799999999999</v>
      </c>
      <c r="S57" s="51">
        <f t="shared" si="20"/>
        <v>0.58059775999999996</v>
      </c>
      <c r="T57" s="51">
        <f t="shared" si="21"/>
        <v>1.9958047999999999E-2</v>
      </c>
      <c r="U57" s="51">
        <f t="shared" si="22"/>
        <v>1.1339800000000001E-2</v>
      </c>
      <c r="V57" s="32">
        <v>14.5</v>
      </c>
      <c r="W57" s="51">
        <f t="shared" si="32"/>
        <v>6.5770840000000002</v>
      </c>
      <c r="X57" s="44">
        <v>59.4</v>
      </c>
      <c r="Y57" s="54">
        <v>0.59</v>
      </c>
      <c r="Z57" s="47">
        <f t="shared" si="33"/>
        <v>0.14968536000000002</v>
      </c>
      <c r="AA57" s="1">
        <v>0.33</v>
      </c>
      <c r="AB57" s="47">
        <f t="shared" si="34"/>
        <v>0.14968536000000002</v>
      </c>
      <c r="AC57" s="1">
        <v>8.8000000000000007</v>
      </c>
      <c r="AD57" s="1">
        <v>0.3</v>
      </c>
      <c r="AE57" s="6">
        <v>0.17</v>
      </c>
    </row>
    <row r="58" spans="1:31">
      <c r="A58" s="3"/>
      <c r="C58" s="47" t="str">
        <f t="shared" si="1"/>
        <v/>
      </c>
      <c r="D58" s="1">
        <v>800</v>
      </c>
      <c r="E58" s="47">
        <f t="shared" si="30"/>
        <v>362.87360000000001</v>
      </c>
      <c r="H58" s="1">
        <v>1</v>
      </c>
      <c r="I58" s="47">
        <f t="shared" si="31"/>
        <v>0.453592</v>
      </c>
      <c r="J58" s="32">
        <v>9.5</v>
      </c>
      <c r="K58" s="25">
        <v>6.5</v>
      </c>
      <c r="L58" s="25">
        <v>1.6</v>
      </c>
      <c r="M58" s="25">
        <v>1.35</v>
      </c>
      <c r="N58" s="25">
        <v>4.5999999999999999E-2</v>
      </c>
      <c r="O58" s="33">
        <v>2.7E-2</v>
      </c>
      <c r="P58" s="51">
        <f t="shared" si="17"/>
        <v>4.3091239999999997</v>
      </c>
      <c r="Q58" s="51">
        <f t="shared" si="18"/>
        <v>6.5</v>
      </c>
      <c r="R58" s="51">
        <f t="shared" si="19"/>
        <v>0.72574720000000004</v>
      </c>
      <c r="S58" s="51">
        <f t="shared" si="20"/>
        <v>0.61234920000000004</v>
      </c>
      <c r="T58" s="51">
        <f t="shared" si="21"/>
        <v>2.0865232000000001E-2</v>
      </c>
      <c r="U58" s="51">
        <f t="shared" si="22"/>
        <v>1.2246983999999999E-2</v>
      </c>
      <c r="V58" s="32">
        <v>16</v>
      </c>
      <c r="W58" s="51">
        <f t="shared" si="32"/>
        <v>7.2574719999999999</v>
      </c>
      <c r="X58" s="44">
        <v>59.3</v>
      </c>
      <c r="Y58" s="54">
        <v>0.59</v>
      </c>
      <c r="Z58" s="47">
        <f t="shared" si="33"/>
        <v>0.14968536000000002</v>
      </c>
      <c r="AA58" s="1">
        <v>0.33</v>
      </c>
      <c r="AB58" s="47">
        <f t="shared" si="34"/>
        <v>0.14968536000000002</v>
      </c>
      <c r="AC58" s="1">
        <v>8.4</v>
      </c>
      <c r="AD58" s="1">
        <v>0.28000000000000003</v>
      </c>
      <c r="AE58" s="6">
        <v>0.17</v>
      </c>
    </row>
    <row r="59" spans="1:31">
      <c r="A59" s="3"/>
      <c r="C59" s="47" t="str">
        <f t="shared" si="1"/>
        <v/>
      </c>
      <c r="D59" s="1">
        <v>400</v>
      </c>
      <c r="E59" s="47">
        <f t="shared" si="30"/>
        <v>181.43680000000001</v>
      </c>
      <c r="H59" s="1">
        <v>1.5</v>
      </c>
      <c r="I59" s="47">
        <f t="shared" si="31"/>
        <v>0.68038799999999999</v>
      </c>
      <c r="J59" s="32">
        <v>6.24</v>
      </c>
      <c r="K59" s="25">
        <v>3.9</v>
      </c>
      <c r="L59" s="25">
        <v>1.5</v>
      </c>
      <c r="M59" s="25">
        <v>1.25</v>
      </c>
      <c r="N59" s="25">
        <v>5.2999999999999999E-2</v>
      </c>
      <c r="O59" s="33">
        <v>2.5999999999999999E-2</v>
      </c>
      <c r="P59" s="51">
        <f t="shared" si="17"/>
        <v>2.8304140800000002</v>
      </c>
      <c r="Q59" s="51">
        <f t="shared" si="18"/>
        <v>3.9</v>
      </c>
      <c r="R59" s="51">
        <f t="shared" si="19"/>
        <v>0.68038799999999999</v>
      </c>
      <c r="S59" s="51">
        <f t="shared" si="20"/>
        <v>0.56698999999999999</v>
      </c>
      <c r="T59" s="51">
        <f t="shared" si="21"/>
        <v>2.4040375999999999E-2</v>
      </c>
      <c r="U59" s="51">
        <f t="shared" si="22"/>
        <v>1.1793392E-2</v>
      </c>
      <c r="V59" s="32">
        <v>9.6999999999999993</v>
      </c>
      <c r="W59" s="51">
        <f t="shared" si="32"/>
        <v>4.3998423999999998</v>
      </c>
      <c r="X59" s="44">
        <v>64</v>
      </c>
      <c r="Y59" s="54">
        <v>0.66</v>
      </c>
      <c r="Z59" s="47">
        <f t="shared" si="33"/>
        <v>0.17690088000000001</v>
      </c>
      <c r="AA59" s="1">
        <v>0.39</v>
      </c>
      <c r="AB59" s="47">
        <f t="shared" si="34"/>
        <v>0.17690088000000001</v>
      </c>
      <c r="AC59" s="1">
        <v>12.8</v>
      </c>
      <c r="AD59" s="1">
        <v>0.54</v>
      </c>
      <c r="AE59" s="6">
        <v>0.26</v>
      </c>
    </row>
    <row r="60" spans="1:31">
      <c r="A60" s="3"/>
      <c r="C60" s="47" t="str">
        <f t="shared" si="1"/>
        <v/>
      </c>
      <c r="D60" s="1">
        <v>500</v>
      </c>
      <c r="E60" s="47">
        <f t="shared" si="30"/>
        <v>226.79599999999999</v>
      </c>
      <c r="H60" s="1">
        <v>1.5</v>
      </c>
      <c r="I60" s="47">
        <f t="shared" si="31"/>
        <v>0.68038799999999999</v>
      </c>
      <c r="J60" s="32">
        <v>7.37</v>
      </c>
      <c r="K60" s="25">
        <v>4.5999999999999996</v>
      </c>
      <c r="L60" s="25">
        <v>1.8</v>
      </c>
      <c r="M60" s="25">
        <v>1.32</v>
      </c>
      <c r="N60" s="25">
        <v>5.3999999999999999E-2</v>
      </c>
      <c r="O60" s="33">
        <v>2.7E-2</v>
      </c>
      <c r="P60" s="51">
        <f t="shared" si="17"/>
        <v>3.34297304</v>
      </c>
      <c r="Q60" s="51">
        <f t="shared" si="18"/>
        <v>4.5999999999999996</v>
      </c>
      <c r="R60" s="51">
        <f t="shared" si="19"/>
        <v>0.81646560000000001</v>
      </c>
      <c r="S60" s="51">
        <f t="shared" si="20"/>
        <v>0.59874144000000007</v>
      </c>
      <c r="T60" s="51">
        <f t="shared" si="21"/>
        <v>2.4493967999999998E-2</v>
      </c>
      <c r="U60" s="51">
        <f t="shared" si="22"/>
        <v>1.2246983999999999E-2</v>
      </c>
      <c r="V60" s="32">
        <v>11.5</v>
      </c>
      <c r="W60" s="51">
        <f t="shared" si="32"/>
        <v>5.2163079999999997</v>
      </c>
      <c r="X60" s="44">
        <v>64</v>
      </c>
      <c r="Y60" s="54">
        <v>0.66</v>
      </c>
      <c r="Z60" s="47">
        <f t="shared" si="33"/>
        <v>0.17690088000000001</v>
      </c>
      <c r="AA60" s="1">
        <v>0.39</v>
      </c>
      <c r="AB60" s="47">
        <f t="shared" si="34"/>
        <v>0.17690088000000001</v>
      </c>
      <c r="AC60" s="1">
        <v>11.5</v>
      </c>
      <c r="AD60" s="1">
        <v>0.47</v>
      </c>
      <c r="AE60" s="6">
        <v>0.23</v>
      </c>
    </row>
    <row r="61" spans="1:31">
      <c r="A61" s="3"/>
      <c r="C61" s="47" t="str">
        <f t="shared" si="1"/>
        <v/>
      </c>
      <c r="D61" s="1">
        <v>600</v>
      </c>
      <c r="E61" s="47">
        <f t="shared" si="30"/>
        <v>272.15519999999998</v>
      </c>
      <c r="H61" s="1">
        <v>1.5</v>
      </c>
      <c r="I61" s="47">
        <f t="shared" si="31"/>
        <v>0.68038799999999999</v>
      </c>
      <c r="J61" s="32">
        <v>8.4700000000000006</v>
      </c>
      <c r="K61" s="25">
        <v>5.3</v>
      </c>
      <c r="L61" s="25">
        <v>2</v>
      </c>
      <c r="M61" s="25">
        <v>1.39</v>
      </c>
      <c r="N61" s="25">
        <v>5.3999999999999999E-2</v>
      </c>
      <c r="O61" s="33">
        <v>2.8000000000000001E-2</v>
      </c>
      <c r="P61" s="51">
        <f t="shared" si="17"/>
        <v>3.8419242400000004</v>
      </c>
      <c r="Q61" s="51">
        <f t="shared" si="18"/>
        <v>5.3</v>
      </c>
      <c r="R61" s="51">
        <f t="shared" si="19"/>
        <v>0.90718399999999999</v>
      </c>
      <c r="S61" s="51">
        <f t="shared" si="20"/>
        <v>0.63049287999999992</v>
      </c>
      <c r="T61" s="51">
        <f t="shared" si="21"/>
        <v>2.4493967999999998E-2</v>
      </c>
      <c r="U61" s="51">
        <f t="shared" si="22"/>
        <v>1.2700576E-2</v>
      </c>
      <c r="V61" s="32">
        <v>13.2</v>
      </c>
      <c r="W61" s="51">
        <f t="shared" si="32"/>
        <v>5.9874143999999996</v>
      </c>
      <c r="X61" s="44">
        <v>64.099999999999994</v>
      </c>
      <c r="Y61" s="54">
        <v>0.66</v>
      </c>
      <c r="Z61" s="47">
        <f t="shared" si="33"/>
        <v>0.17690088000000001</v>
      </c>
      <c r="AA61" s="1">
        <v>0.39</v>
      </c>
      <c r="AB61" s="47">
        <f t="shared" si="34"/>
        <v>0.17690088000000001</v>
      </c>
      <c r="AC61" s="1">
        <v>10.5</v>
      </c>
      <c r="AD61" s="1">
        <v>0.41</v>
      </c>
      <c r="AE61" s="6">
        <v>0.21</v>
      </c>
    </row>
    <row r="62" spans="1:31">
      <c r="A62" s="3"/>
      <c r="C62" s="47" t="str">
        <f t="shared" si="1"/>
        <v/>
      </c>
      <c r="D62" s="1">
        <v>700</v>
      </c>
      <c r="E62" s="47">
        <f t="shared" si="30"/>
        <v>317.51440000000002</v>
      </c>
      <c r="H62" s="1">
        <v>1.5</v>
      </c>
      <c r="I62" s="47">
        <f t="shared" si="31"/>
        <v>0.68038799999999999</v>
      </c>
      <c r="J62" s="32">
        <v>9.4700000000000006</v>
      </c>
      <c r="K62" s="25">
        <v>5.9</v>
      </c>
      <c r="L62" s="25">
        <v>2.2000000000000002</v>
      </c>
      <c r="M62" s="25">
        <v>1.45</v>
      </c>
      <c r="N62" s="25">
        <v>5.5E-2</v>
      </c>
      <c r="O62" s="33">
        <v>0.03</v>
      </c>
      <c r="P62" s="51">
        <f t="shared" si="17"/>
        <v>4.2955162400000004</v>
      </c>
      <c r="Q62" s="51">
        <f t="shared" si="18"/>
        <v>5.9</v>
      </c>
      <c r="R62" s="51">
        <f t="shared" si="19"/>
        <v>0.99790240000000008</v>
      </c>
      <c r="S62" s="51">
        <f t="shared" si="20"/>
        <v>0.65770839999999997</v>
      </c>
      <c r="T62" s="51">
        <f t="shared" si="21"/>
        <v>2.4947560000000001E-2</v>
      </c>
      <c r="U62" s="51">
        <f t="shared" si="22"/>
        <v>1.360776E-2</v>
      </c>
      <c r="V62" s="32">
        <v>14.8</v>
      </c>
      <c r="W62" s="51">
        <f t="shared" si="32"/>
        <v>6.7131616000000003</v>
      </c>
      <c r="X62" s="44">
        <v>63.9</v>
      </c>
      <c r="Y62" s="54">
        <v>0.65</v>
      </c>
      <c r="Z62" s="47">
        <f t="shared" si="33"/>
        <v>0.17690088000000001</v>
      </c>
      <c r="AA62" s="1">
        <v>0.39</v>
      </c>
      <c r="AB62" s="47">
        <f t="shared" si="34"/>
        <v>0.17690088000000001</v>
      </c>
      <c r="AC62" s="1">
        <v>9.8000000000000007</v>
      </c>
      <c r="AD62" s="1">
        <v>0.37</v>
      </c>
      <c r="AE62" s="6">
        <v>0.2</v>
      </c>
    </row>
    <row r="63" spans="1:31">
      <c r="A63" s="3"/>
      <c r="C63" s="47" t="str">
        <f t="shared" si="1"/>
        <v/>
      </c>
      <c r="D63" s="1">
        <v>800</v>
      </c>
      <c r="E63" s="47">
        <f t="shared" si="30"/>
        <v>362.87360000000001</v>
      </c>
      <c r="H63" s="1">
        <v>1.5</v>
      </c>
      <c r="I63" s="47">
        <f t="shared" si="31"/>
        <v>0.68038799999999999</v>
      </c>
      <c r="J63" s="32">
        <v>10.46</v>
      </c>
      <c r="K63" s="25">
        <v>6.5</v>
      </c>
      <c r="L63" s="25">
        <v>2.5</v>
      </c>
      <c r="M63" s="25">
        <v>1.51</v>
      </c>
      <c r="N63" s="25">
        <v>5.6000000000000001E-2</v>
      </c>
      <c r="O63" s="33">
        <v>3.1E-2</v>
      </c>
      <c r="P63" s="51">
        <f t="shared" si="17"/>
        <v>4.7445723200000005</v>
      </c>
      <c r="Q63" s="51">
        <f t="shared" si="18"/>
        <v>6.5</v>
      </c>
      <c r="R63" s="51">
        <f t="shared" si="19"/>
        <v>1.13398</v>
      </c>
      <c r="S63" s="51">
        <f t="shared" si="20"/>
        <v>0.68492392000000002</v>
      </c>
      <c r="T63" s="51">
        <f t="shared" si="21"/>
        <v>2.5401152E-2</v>
      </c>
      <c r="U63" s="51">
        <f t="shared" si="22"/>
        <v>1.4061351999999999E-2</v>
      </c>
      <c r="V63" s="32">
        <v>16.399999999999999</v>
      </c>
      <c r="W63" s="51">
        <f t="shared" si="32"/>
        <v>7.4389087999999992</v>
      </c>
      <c r="X63" s="44">
        <v>63.9</v>
      </c>
      <c r="Y63" s="54">
        <v>0.65</v>
      </c>
      <c r="Z63" s="47">
        <f t="shared" si="33"/>
        <v>0.17690088000000001</v>
      </c>
      <c r="AA63" s="1">
        <v>0.39</v>
      </c>
      <c r="AB63" s="47">
        <f t="shared" si="34"/>
        <v>0.17690088000000001</v>
      </c>
      <c r="AC63" s="1">
        <v>9.1999999999999993</v>
      </c>
      <c r="AD63" s="1">
        <v>0.34</v>
      </c>
      <c r="AE63" s="6">
        <v>0.19</v>
      </c>
    </row>
    <row r="64" spans="1:31">
      <c r="A64" s="3"/>
      <c r="C64" s="47" t="str">
        <f t="shared" si="1"/>
        <v/>
      </c>
      <c r="D64" s="1">
        <v>400</v>
      </c>
      <c r="E64" s="47">
        <f t="shared" si="30"/>
        <v>181.43680000000001</v>
      </c>
      <c r="H64" s="1">
        <v>2</v>
      </c>
      <c r="I64" s="47">
        <f t="shared" si="31"/>
        <v>0.90718399999999999</v>
      </c>
      <c r="J64" s="32">
        <v>6.76</v>
      </c>
      <c r="K64" s="25">
        <v>3.9</v>
      </c>
      <c r="L64" s="25">
        <v>2.1</v>
      </c>
      <c r="M64" s="25">
        <v>1.46</v>
      </c>
      <c r="N64" s="25">
        <v>6.6000000000000003E-2</v>
      </c>
      <c r="O64" s="33">
        <v>3.1E-2</v>
      </c>
      <c r="P64" s="51">
        <f t="shared" si="17"/>
        <v>3.0662819199999998</v>
      </c>
      <c r="Q64" s="51">
        <f t="shared" si="18"/>
        <v>3.9</v>
      </c>
      <c r="R64" s="51">
        <f t="shared" si="19"/>
        <v>0.95254320000000003</v>
      </c>
      <c r="S64" s="51">
        <f t="shared" si="20"/>
        <v>0.66224432</v>
      </c>
      <c r="T64" s="51">
        <f t="shared" si="21"/>
        <v>2.9937072000000002E-2</v>
      </c>
      <c r="U64" s="51">
        <f t="shared" si="22"/>
        <v>1.4061351999999999E-2</v>
      </c>
      <c r="V64" s="32">
        <v>9.8000000000000007</v>
      </c>
      <c r="W64" s="51">
        <f t="shared" si="32"/>
        <v>4.4452015999999999</v>
      </c>
      <c r="X64" s="44">
        <v>69.2</v>
      </c>
      <c r="Y64" s="54">
        <v>0.73</v>
      </c>
      <c r="Z64" s="47">
        <f t="shared" si="33"/>
        <v>0.20865232</v>
      </c>
      <c r="AA64" s="1">
        <v>0.46</v>
      </c>
      <c r="AB64" s="47">
        <f t="shared" si="34"/>
        <v>0.20865232</v>
      </c>
      <c r="AC64" s="1">
        <v>14.9</v>
      </c>
      <c r="AD64" s="1">
        <v>0.68</v>
      </c>
      <c r="AE64" s="6">
        <v>0.32</v>
      </c>
    </row>
    <row r="65" spans="1:31">
      <c r="A65" s="3"/>
      <c r="C65" s="47" t="str">
        <f t="shared" si="1"/>
        <v/>
      </c>
      <c r="D65" s="1">
        <v>500</v>
      </c>
      <c r="E65" s="47">
        <f t="shared" si="30"/>
        <v>226.79599999999999</v>
      </c>
      <c r="H65" s="1">
        <v>2</v>
      </c>
      <c r="I65" s="47">
        <f t="shared" si="31"/>
        <v>0.90718399999999999</v>
      </c>
      <c r="J65" s="32">
        <v>7.99</v>
      </c>
      <c r="K65" s="25">
        <v>4.5999999999999996</v>
      </c>
      <c r="L65" s="25">
        <v>2.4</v>
      </c>
      <c r="M65" s="25">
        <v>1.51</v>
      </c>
      <c r="N65" s="25">
        <v>6.6000000000000003E-2</v>
      </c>
      <c r="O65" s="33">
        <v>3.2000000000000001E-2</v>
      </c>
      <c r="P65" s="51">
        <f t="shared" si="17"/>
        <v>3.62420008</v>
      </c>
      <c r="Q65" s="51">
        <f t="shared" si="18"/>
        <v>4.5999999999999996</v>
      </c>
      <c r="R65" s="51">
        <f t="shared" si="19"/>
        <v>1.0886207999999999</v>
      </c>
      <c r="S65" s="51">
        <f t="shared" si="20"/>
        <v>0.68492392000000002</v>
      </c>
      <c r="T65" s="51">
        <f t="shared" si="21"/>
        <v>2.9937072000000002E-2</v>
      </c>
      <c r="U65" s="51">
        <f t="shared" si="22"/>
        <v>1.4514944E-2</v>
      </c>
      <c r="V65" s="32">
        <v>11.6</v>
      </c>
      <c r="W65" s="51">
        <f t="shared" si="32"/>
        <v>5.2616671999999998</v>
      </c>
      <c r="X65" s="44">
        <v>69.099999999999994</v>
      </c>
      <c r="Y65" s="54">
        <v>0.73</v>
      </c>
      <c r="Z65" s="47">
        <f t="shared" si="33"/>
        <v>0.20865232</v>
      </c>
      <c r="AA65" s="1">
        <v>0.46</v>
      </c>
      <c r="AB65" s="47">
        <f t="shared" si="34"/>
        <v>0.20865232</v>
      </c>
      <c r="AC65" s="1">
        <v>13.1</v>
      </c>
      <c r="AD65" s="1">
        <v>0.56999999999999995</v>
      </c>
      <c r="AE65" s="6">
        <v>0.28000000000000003</v>
      </c>
    </row>
    <row r="66" spans="1:31">
      <c r="A66" s="3"/>
      <c r="C66" s="47" t="str">
        <f t="shared" si="1"/>
        <v/>
      </c>
      <c r="D66" s="1">
        <v>600</v>
      </c>
      <c r="E66" s="47">
        <f t="shared" si="30"/>
        <v>272.15519999999998</v>
      </c>
      <c r="H66" s="1">
        <v>2</v>
      </c>
      <c r="I66" s="47">
        <f t="shared" si="31"/>
        <v>0.90718399999999999</v>
      </c>
      <c r="J66" s="32">
        <v>9.17</v>
      </c>
      <c r="K66" s="25">
        <v>5.3</v>
      </c>
      <c r="L66" s="25">
        <v>2.7</v>
      </c>
      <c r="M66" s="25">
        <v>1.57</v>
      </c>
      <c r="N66" s="25">
        <v>6.6000000000000003E-2</v>
      </c>
      <c r="O66" s="33">
        <v>3.3000000000000002E-2</v>
      </c>
      <c r="P66" s="51">
        <f t="shared" si="17"/>
        <v>4.1594386400000003</v>
      </c>
      <c r="Q66" s="51">
        <f t="shared" si="18"/>
        <v>5.3</v>
      </c>
      <c r="R66" s="51">
        <f t="shared" si="19"/>
        <v>1.2246984000000001</v>
      </c>
      <c r="S66" s="51">
        <f t="shared" si="20"/>
        <v>0.71213944000000007</v>
      </c>
      <c r="T66" s="51">
        <f t="shared" si="21"/>
        <v>2.9937072000000002E-2</v>
      </c>
      <c r="U66" s="51">
        <f t="shared" si="22"/>
        <v>1.4968536000000001E-2</v>
      </c>
      <c r="V66" s="32">
        <v>13.2</v>
      </c>
      <c r="W66" s="51">
        <f t="shared" si="32"/>
        <v>5.9874143999999996</v>
      </c>
      <c r="X66" s="44">
        <v>69.2</v>
      </c>
      <c r="Y66" s="54">
        <v>0.73</v>
      </c>
      <c r="Z66" s="47">
        <f t="shared" si="33"/>
        <v>0.20865232</v>
      </c>
      <c r="AA66" s="1">
        <v>0.46</v>
      </c>
      <c r="AB66" s="47">
        <f t="shared" si="34"/>
        <v>0.20865232</v>
      </c>
      <c r="AC66" s="1">
        <v>11.8</v>
      </c>
      <c r="AD66" s="1">
        <v>0.5</v>
      </c>
      <c r="AE66" s="6">
        <v>0.25</v>
      </c>
    </row>
    <row r="67" spans="1:31">
      <c r="A67" s="3"/>
      <c r="C67" s="47" t="str">
        <f t="shared" si="1"/>
        <v/>
      </c>
      <c r="D67" s="1">
        <v>700</v>
      </c>
      <c r="E67" s="47">
        <f t="shared" si="30"/>
        <v>317.51440000000002</v>
      </c>
      <c r="H67" s="1">
        <v>2</v>
      </c>
      <c r="I67" s="47">
        <f t="shared" si="31"/>
        <v>0.90718399999999999</v>
      </c>
      <c r="J67" s="32">
        <v>10.27</v>
      </c>
      <c r="K67" s="25">
        <v>5.9</v>
      </c>
      <c r="L67" s="25">
        <v>3.1</v>
      </c>
      <c r="M67" s="25">
        <v>1.62</v>
      </c>
      <c r="N67" s="25">
        <v>6.5000000000000002E-2</v>
      </c>
      <c r="O67" s="33">
        <v>3.4000000000000002E-2</v>
      </c>
      <c r="P67" s="51">
        <f t="shared" si="17"/>
        <v>4.6583898399999999</v>
      </c>
      <c r="Q67" s="51">
        <f t="shared" si="18"/>
        <v>5.9</v>
      </c>
      <c r="R67" s="51">
        <f t="shared" si="19"/>
        <v>1.4061352</v>
      </c>
      <c r="S67" s="51">
        <f t="shared" si="20"/>
        <v>0.73481904000000009</v>
      </c>
      <c r="T67" s="51">
        <f t="shared" si="21"/>
        <v>2.9483479999999999E-2</v>
      </c>
      <c r="U67" s="51">
        <f t="shared" si="22"/>
        <v>1.5422128E-2</v>
      </c>
      <c r="V67" s="32">
        <v>14.9</v>
      </c>
      <c r="W67" s="51">
        <f t="shared" si="32"/>
        <v>6.7585208000000003</v>
      </c>
      <c r="X67" s="44">
        <v>69.099999999999994</v>
      </c>
      <c r="Y67" s="54">
        <v>0.73</v>
      </c>
      <c r="Z67" s="47">
        <f t="shared" si="33"/>
        <v>0.20865232</v>
      </c>
      <c r="AA67" s="1">
        <v>0.46</v>
      </c>
      <c r="AB67" s="47">
        <f t="shared" si="34"/>
        <v>0.20865232</v>
      </c>
      <c r="AC67" s="1">
        <v>10.9</v>
      </c>
      <c r="AD67" s="1">
        <v>0.44</v>
      </c>
      <c r="AE67" s="6">
        <v>0.23</v>
      </c>
    </row>
    <row r="68" spans="1:31">
      <c r="A68" s="13"/>
      <c r="B68" s="8"/>
      <c r="C68" s="47" t="str">
        <f t="shared" si="1"/>
        <v/>
      </c>
      <c r="D68" s="8">
        <v>800</v>
      </c>
      <c r="E68" s="47">
        <f t="shared" si="30"/>
        <v>362.87360000000001</v>
      </c>
      <c r="F68" s="8"/>
      <c r="G68" s="8"/>
      <c r="H68" s="1">
        <v>2</v>
      </c>
      <c r="I68" s="47">
        <f t="shared" si="31"/>
        <v>0.90718399999999999</v>
      </c>
      <c r="J68" s="34">
        <v>11.34</v>
      </c>
      <c r="K68" s="35">
        <v>6.5</v>
      </c>
      <c r="L68" s="35">
        <v>3.4</v>
      </c>
      <c r="M68" s="35">
        <v>1.67</v>
      </c>
      <c r="N68" s="35">
        <v>6.5000000000000002E-2</v>
      </c>
      <c r="O68" s="36">
        <v>3.5000000000000003E-2</v>
      </c>
      <c r="P68" s="51">
        <f t="shared" si="17"/>
        <v>5.1437332800000002</v>
      </c>
      <c r="Q68" s="51">
        <f t="shared" si="18"/>
        <v>6.5</v>
      </c>
      <c r="R68" s="51">
        <f t="shared" si="19"/>
        <v>1.5422127999999999</v>
      </c>
      <c r="S68" s="51">
        <f t="shared" si="20"/>
        <v>0.75749864</v>
      </c>
      <c r="T68" s="51">
        <f t="shared" si="21"/>
        <v>2.9483479999999999E-2</v>
      </c>
      <c r="U68" s="51">
        <f t="shared" si="22"/>
        <v>1.5875720000000003E-2</v>
      </c>
      <c r="V68" s="34">
        <v>16.399999999999999</v>
      </c>
      <c r="W68" s="51">
        <f t="shared" si="32"/>
        <v>7.4389087999999992</v>
      </c>
      <c r="X68" s="46">
        <v>69</v>
      </c>
      <c r="Y68" s="56">
        <v>0.73</v>
      </c>
      <c r="Z68" s="47">
        <f t="shared" si="33"/>
        <v>0.2041164</v>
      </c>
      <c r="AA68" s="8">
        <v>0.45</v>
      </c>
      <c r="AB68" s="47">
        <f t="shared" si="34"/>
        <v>0.2041164</v>
      </c>
      <c r="AC68" s="8">
        <v>10.1</v>
      </c>
      <c r="AD68" s="8">
        <v>0.4</v>
      </c>
      <c r="AE68" s="9">
        <v>0.21</v>
      </c>
    </row>
    <row r="69" spans="1:31">
      <c r="C69" s="47" t="str">
        <f t="shared" si="1"/>
        <v/>
      </c>
      <c r="E69" s="47" t="str">
        <f t="shared" si="30"/>
        <v/>
      </c>
      <c r="I69" s="47" t="str">
        <f t="shared" si="31"/>
        <v/>
      </c>
      <c r="P69" s="51">
        <f t="shared" si="17"/>
        <v>0</v>
      </c>
      <c r="Q69" s="51">
        <f t="shared" si="18"/>
        <v>0</v>
      </c>
      <c r="R69" s="51">
        <f t="shared" si="19"/>
        <v>0</v>
      </c>
      <c r="S69" s="51">
        <f t="shared" si="20"/>
        <v>0</v>
      </c>
      <c r="T69" s="51">
        <f t="shared" si="21"/>
        <v>0</v>
      </c>
      <c r="U69" s="51">
        <f t="shared" si="22"/>
        <v>0</v>
      </c>
    </row>
    <row r="70" spans="1:31">
      <c r="A70" s="11"/>
      <c r="B70" s="10"/>
      <c r="C70" s="47" t="str">
        <f t="shared" si="1"/>
        <v/>
      </c>
      <c r="D70" s="10"/>
      <c r="E70" s="47" t="str">
        <f t="shared" si="30"/>
        <v/>
      </c>
      <c r="F70" s="10"/>
      <c r="G70" s="10"/>
      <c r="H70" s="10"/>
      <c r="I70" s="47" t="str">
        <f t="shared" si="31"/>
        <v/>
      </c>
      <c r="J70" s="26" t="s">
        <v>10</v>
      </c>
      <c r="K70" s="27"/>
      <c r="L70" s="27"/>
      <c r="M70" s="27"/>
      <c r="N70" s="27"/>
      <c r="O70" s="28"/>
      <c r="P70" s="51" t="e">
        <f t="shared" si="17"/>
        <v>#VALUE!</v>
      </c>
      <c r="Q70" s="51">
        <f t="shared" si="18"/>
        <v>0</v>
      </c>
      <c r="R70" s="51">
        <f t="shared" si="19"/>
        <v>0</v>
      </c>
      <c r="S70" s="51">
        <f t="shared" si="20"/>
        <v>0</v>
      </c>
      <c r="T70" s="51">
        <f t="shared" si="21"/>
        <v>0</v>
      </c>
      <c r="U70" s="51">
        <f t="shared" si="22"/>
        <v>0</v>
      </c>
      <c r="V70" s="21" t="s">
        <v>21</v>
      </c>
      <c r="W70" s="21"/>
      <c r="X70" s="21"/>
      <c r="Y70" s="21"/>
      <c r="Z70" s="21"/>
      <c r="AA70" s="21"/>
      <c r="AB70" s="21"/>
      <c r="AC70" s="21"/>
      <c r="AD70" s="21"/>
      <c r="AE70" s="22"/>
    </row>
    <row r="71" spans="1:31" ht="26">
      <c r="A71" s="12" t="s">
        <v>40</v>
      </c>
      <c r="B71" s="2" t="s">
        <v>27</v>
      </c>
      <c r="C71" s="47" t="s">
        <v>132</v>
      </c>
      <c r="D71" s="2" t="s">
        <v>31</v>
      </c>
      <c r="E71" s="49" t="s">
        <v>128</v>
      </c>
      <c r="F71" s="2"/>
      <c r="G71" s="2"/>
      <c r="H71" s="2" t="s">
        <v>30</v>
      </c>
      <c r="I71" s="45" t="s">
        <v>133</v>
      </c>
      <c r="J71" s="29" t="s">
        <v>11</v>
      </c>
      <c r="K71" s="30" t="s">
        <v>23</v>
      </c>
      <c r="L71" s="30" t="s">
        <v>24</v>
      </c>
      <c r="M71" s="30" t="s">
        <v>12</v>
      </c>
      <c r="N71" s="30" t="s">
        <v>13</v>
      </c>
      <c r="O71" s="31" t="s">
        <v>14</v>
      </c>
      <c r="P71" s="48" t="s">
        <v>130</v>
      </c>
      <c r="Q71" s="49" t="s">
        <v>23</v>
      </c>
      <c r="R71" s="49" t="s">
        <v>129</v>
      </c>
      <c r="S71" s="49" t="s">
        <v>117</v>
      </c>
      <c r="T71" s="49" t="s">
        <v>118</v>
      </c>
      <c r="U71" s="50" t="s">
        <v>119</v>
      </c>
      <c r="V71" s="29" t="s">
        <v>15</v>
      </c>
      <c r="W71" s="48" t="s">
        <v>120</v>
      </c>
      <c r="X71" s="45" t="s">
        <v>16</v>
      </c>
      <c r="Y71" s="55" t="s">
        <v>17</v>
      </c>
      <c r="Z71" s="49" t="s">
        <v>126</v>
      </c>
      <c r="AA71" s="2" t="s">
        <v>24</v>
      </c>
      <c r="AB71" s="49" t="s">
        <v>127</v>
      </c>
      <c r="AC71" s="2" t="s">
        <v>18</v>
      </c>
      <c r="AD71" s="2" t="s">
        <v>19</v>
      </c>
      <c r="AE71" s="4" t="s">
        <v>20</v>
      </c>
    </row>
    <row r="72" spans="1:31">
      <c r="A72" s="3"/>
      <c r="B72" s="1">
        <v>1200</v>
      </c>
      <c r="C72" s="47">
        <f t="shared" si="1"/>
        <v>544.31039999999996</v>
      </c>
      <c r="D72" s="1">
        <v>400</v>
      </c>
      <c r="E72" s="47">
        <f t="shared" si="30"/>
        <v>181.43680000000001</v>
      </c>
      <c r="H72" s="1">
        <v>1.5</v>
      </c>
      <c r="I72" s="47">
        <f t="shared" si="31"/>
        <v>0.68038799999999999</v>
      </c>
      <c r="J72" s="32">
        <v>6.26</v>
      </c>
      <c r="K72" s="25">
        <v>3.9</v>
      </c>
      <c r="L72" s="25">
        <v>1.6</v>
      </c>
      <c r="M72" s="25">
        <v>1.25</v>
      </c>
      <c r="N72" s="25">
        <v>5.1999999999999998E-2</v>
      </c>
      <c r="O72" s="33">
        <v>2.5000000000000001E-2</v>
      </c>
      <c r="P72" s="51">
        <f t="shared" si="17"/>
        <v>2.83948592</v>
      </c>
      <c r="Q72" s="51">
        <f t="shared" si="18"/>
        <v>3.9</v>
      </c>
      <c r="R72" s="51">
        <f t="shared" si="19"/>
        <v>0.72574720000000004</v>
      </c>
      <c r="S72" s="51">
        <f t="shared" si="20"/>
        <v>0.56698999999999999</v>
      </c>
      <c r="T72" s="51">
        <f t="shared" si="21"/>
        <v>2.3586784E-2</v>
      </c>
      <c r="U72" s="51">
        <f t="shared" si="22"/>
        <v>1.1339800000000001E-2</v>
      </c>
      <c r="V72" s="25">
        <v>10</v>
      </c>
      <c r="W72" s="47">
        <f>V72*$B$1</f>
        <v>4.53592</v>
      </c>
      <c r="X72" s="44">
        <v>62.3</v>
      </c>
      <c r="Y72" s="54">
        <v>0.65</v>
      </c>
      <c r="Z72" s="47">
        <f>IF(Y72&gt;0,(Y72*$B$1),"")</f>
        <v>0.29483480000000001</v>
      </c>
      <c r="AA72" s="1">
        <v>0.39</v>
      </c>
      <c r="AB72" s="47">
        <f>IF(AA72&gt;0,(AA72*$B$1),"")</f>
        <v>0.17690088000000001</v>
      </c>
      <c r="AC72" s="1">
        <v>12.4</v>
      </c>
      <c r="AD72" s="1">
        <v>0.52</v>
      </c>
      <c r="AE72" s="6">
        <v>0.25</v>
      </c>
    </row>
    <row r="73" spans="1:31">
      <c r="A73" s="3"/>
      <c r="C73" s="47" t="str">
        <f t="shared" si="1"/>
        <v/>
      </c>
      <c r="D73" s="1">
        <v>500</v>
      </c>
      <c r="E73" s="47">
        <f t="shared" si="30"/>
        <v>226.79599999999999</v>
      </c>
      <c r="H73" s="1">
        <v>1.5</v>
      </c>
      <c r="I73" s="47">
        <f t="shared" si="31"/>
        <v>0.68038799999999999</v>
      </c>
      <c r="J73" s="32">
        <v>7.4</v>
      </c>
      <c r="K73" s="25">
        <v>4.5999999999999996</v>
      </c>
      <c r="L73" s="25">
        <v>1.9</v>
      </c>
      <c r="M73" s="25">
        <v>1.32</v>
      </c>
      <c r="N73" s="25">
        <v>5.2999999999999999E-2</v>
      </c>
      <c r="O73" s="33">
        <v>2.7E-2</v>
      </c>
      <c r="P73" s="51">
        <f t="shared" si="17"/>
        <v>3.3565808000000001</v>
      </c>
      <c r="Q73" s="51">
        <f t="shared" si="18"/>
        <v>4.5999999999999996</v>
      </c>
      <c r="R73" s="51">
        <f t="shared" si="19"/>
        <v>0.86182479999999995</v>
      </c>
      <c r="S73" s="51">
        <f t="shared" si="20"/>
        <v>0.59874144000000007</v>
      </c>
      <c r="T73" s="51">
        <f t="shared" si="21"/>
        <v>2.4040375999999999E-2</v>
      </c>
      <c r="U73" s="51">
        <f t="shared" si="22"/>
        <v>1.2246983999999999E-2</v>
      </c>
      <c r="V73" s="25">
        <v>11.9</v>
      </c>
      <c r="W73" s="47">
        <f t="shared" ref="W73:W91" si="35">V73*$B$1</f>
        <v>5.3977447999999999</v>
      </c>
      <c r="X73" s="44">
        <v>62.3</v>
      </c>
      <c r="Y73" s="54">
        <v>0.65</v>
      </c>
      <c r="Z73" s="47">
        <f t="shared" ref="Z73:Z91" si="36">IF(Y73&gt;0,(Y73*$B$1),"")</f>
        <v>0.29483480000000001</v>
      </c>
      <c r="AA73" s="1">
        <v>0.39</v>
      </c>
      <c r="AB73" s="47">
        <f t="shared" ref="AB73:AB91" si="37">IF(AA73&gt;0,(AA73*$B$1),"")</f>
        <v>0.17690088000000001</v>
      </c>
      <c r="AC73" s="1">
        <v>11.1</v>
      </c>
      <c r="AD73" s="1">
        <v>0.44</v>
      </c>
      <c r="AE73" s="6">
        <v>0.22</v>
      </c>
    </row>
    <row r="74" spans="1:31">
      <c r="A74" s="3"/>
      <c r="C74" s="47" t="str">
        <f t="shared" si="1"/>
        <v/>
      </c>
      <c r="D74" s="1">
        <v>600</v>
      </c>
      <c r="E74" s="47">
        <f t="shared" si="30"/>
        <v>272.15519999999998</v>
      </c>
      <c r="H74" s="1">
        <v>1.5</v>
      </c>
      <c r="I74" s="47">
        <f t="shared" si="31"/>
        <v>0.68038799999999999</v>
      </c>
      <c r="J74" s="32">
        <v>8.5</v>
      </c>
      <c r="K74" s="25">
        <v>5.3</v>
      </c>
      <c r="L74" s="25">
        <v>2.1</v>
      </c>
      <c r="M74" s="25">
        <v>1.38</v>
      </c>
      <c r="N74" s="25">
        <v>5.2999999999999999E-2</v>
      </c>
      <c r="O74" s="33">
        <v>2.8000000000000001E-2</v>
      </c>
      <c r="P74" s="51">
        <f t="shared" si="17"/>
        <v>3.8555320000000002</v>
      </c>
      <c r="Q74" s="51">
        <f t="shared" si="18"/>
        <v>5.3</v>
      </c>
      <c r="R74" s="51">
        <f t="shared" si="19"/>
        <v>0.95254320000000003</v>
      </c>
      <c r="S74" s="51">
        <f t="shared" si="20"/>
        <v>0.6259569599999999</v>
      </c>
      <c r="T74" s="51">
        <f t="shared" si="21"/>
        <v>2.4040375999999999E-2</v>
      </c>
      <c r="U74" s="51">
        <f t="shared" si="22"/>
        <v>1.2700576E-2</v>
      </c>
      <c r="V74" s="25">
        <v>13.6</v>
      </c>
      <c r="W74" s="47">
        <f t="shared" si="35"/>
        <v>6.1688511999999998</v>
      </c>
      <c r="X74" s="44">
        <v>62.4</v>
      </c>
      <c r="Y74" s="54">
        <v>0.65</v>
      </c>
      <c r="Z74" s="47">
        <f t="shared" si="36"/>
        <v>0.29483480000000001</v>
      </c>
      <c r="AA74" s="1">
        <v>0.39</v>
      </c>
      <c r="AB74" s="47">
        <f t="shared" si="37"/>
        <v>0.17690088000000001</v>
      </c>
      <c r="AC74" s="1">
        <v>10.1</v>
      </c>
      <c r="AD74" s="1">
        <v>0.39</v>
      </c>
      <c r="AE74" s="6">
        <v>0.2</v>
      </c>
    </row>
    <row r="75" spans="1:31">
      <c r="A75" s="3"/>
      <c r="C75" s="47" t="str">
        <f t="shared" si="1"/>
        <v/>
      </c>
      <c r="D75" s="1">
        <v>700</v>
      </c>
      <c r="E75" s="47">
        <f t="shared" si="30"/>
        <v>317.51440000000002</v>
      </c>
      <c r="H75" s="1">
        <v>1.5</v>
      </c>
      <c r="I75" s="47">
        <f t="shared" si="31"/>
        <v>0.68038799999999999</v>
      </c>
      <c r="J75" s="32">
        <v>9.51</v>
      </c>
      <c r="K75" s="25">
        <v>5.9</v>
      </c>
      <c r="L75" s="25">
        <v>2.4</v>
      </c>
      <c r="M75" s="25">
        <v>1.44</v>
      </c>
      <c r="N75" s="25">
        <v>5.3999999999999999E-2</v>
      </c>
      <c r="O75" s="33">
        <v>2.9000000000000001E-2</v>
      </c>
      <c r="P75" s="51">
        <f t="shared" si="17"/>
        <v>4.3136599200000001</v>
      </c>
      <c r="Q75" s="51">
        <f t="shared" si="18"/>
        <v>5.9</v>
      </c>
      <c r="R75" s="51">
        <f t="shared" si="19"/>
        <v>1.0886207999999999</v>
      </c>
      <c r="S75" s="51">
        <f t="shared" si="20"/>
        <v>0.65317247999999994</v>
      </c>
      <c r="T75" s="51">
        <f t="shared" si="21"/>
        <v>2.4493967999999998E-2</v>
      </c>
      <c r="U75" s="51">
        <f t="shared" si="22"/>
        <v>1.3154168000000001E-2</v>
      </c>
      <c r="V75" s="25">
        <v>15.3</v>
      </c>
      <c r="W75" s="47">
        <f t="shared" si="35"/>
        <v>6.9399576000000005</v>
      </c>
      <c r="X75" s="44">
        <v>62.2</v>
      </c>
      <c r="Y75" s="54">
        <v>0.65</v>
      </c>
      <c r="Z75" s="47">
        <f t="shared" si="36"/>
        <v>0.29483480000000001</v>
      </c>
      <c r="AA75" s="1">
        <v>0.38</v>
      </c>
      <c r="AB75" s="47">
        <f t="shared" si="37"/>
        <v>0.17236496000000001</v>
      </c>
      <c r="AC75" s="1">
        <v>9.4</v>
      </c>
      <c r="AD75" s="1">
        <v>0.35</v>
      </c>
      <c r="AE75" s="6">
        <v>0.19</v>
      </c>
    </row>
    <row r="76" spans="1:31">
      <c r="A76" s="3"/>
      <c r="C76" s="47" t="str">
        <f t="shared" si="1"/>
        <v/>
      </c>
      <c r="D76" s="1">
        <v>800</v>
      </c>
      <c r="E76" s="47">
        <f t="shared" si="30"/>
        <v>362.87360000000001</v>
      </c>
      <c r="H76" s="1">
        <v>1.5</v>
      </c>
      <c r="I76" s="47">
        <f t="shared" si="31"/>
        <v>0.68038799999999999</v>
      </c>
      <c r="J76" s="32">
        <v>10.5</v>
      </c>
      <c r="K76" s="25">
        <v>6.5</v>
      </c>
      <c r="L76" s="25">
        <v>2.6</v>
      </c>
      <c r="M76" s="25">
        <v>1.5</v>
      </c>
      <c r="N76" s="25">
        <v>5.3999999999999999E-2</v>
      </c>
      <c r="O76" s="33">
        <v>0.03</v>
      </c>
      <c r="P76" s="51">
        <f t="shared" si="17"/>
        <v>4.7627160000000002</v>
      </c>
      <c r="Q76" s="51">
        <f t="shared" si="18"/>
        <v>6.5</v>
      </c>
      <c r="R76" s="51">
        <f t="shared" si="19"/>
        <v>1.1793392</v>
      </c>
      <c r="S76" s="51">
        <f t="shared" si="20"/>
        <v>0.68038799999999999</v>
      </c>
      <c r="T76" s="51">
        <f t="shared" si="21"/>
        <v>2.4493967999999998E-2</v>
      </c>
      <c r="U76" s="51">
        <f t="shared" si="22"/>
        <v>1.360776E-2</v>
      </c>
      <c r="V76" s="25">
        <v>16.899999999999999</v>
      </c>
      <c r="W76" s="47">
        <f t="shared" si="35"/>
        <v>7.6657047999999994</v>
      </c>
      <c r="X76" s="44">
        <v>62.2</v>
      </c>
      <c r="Y76" s="54">
        <v>0.65</v>
      </c>
      <c r="Z76" s="47">
        <f t="shared" si="36"/>
        <v>0.29483480000000001</v>
      </c>
      <c r="AA76" s="1">
        <v>0.38</v>
      </c>
      <c r="AB76" s="47">
        <f t="shared" si="37"/>
        <v>0.17236496000000001</v>
      </c>
      <c r="AC76" s="1">
        <v>8.9</v>
      </c>
      <c r="AD76" s="1">
        <v>0.32</v>
      </c>
      <c r="AE76" s="6">
        <v>0.18</v>
      </c>
    </row>
    <row r="77" spans="1:31">
      <c r="A77" s="3"/>
      <c r="C77" s="47" t="str">
        <f t="shared" ref="C77:C140" si="38">IF(B77&gt;0,(B77*$B$1),"")</f>
        <v/>
      </c>
      <c r="D77" s="1">
        <v>400</v>
      </c>
      <c r="E77" s="47">
        <f t="shared" si="30"/>
        <v>181.43680000000001</v>
      </c>
      <c r="H77" s="1">
        <v>2</v>
      </c>
      <c r="I77" s="47">
        <f t="shared" si="31"/>
        <v>0.90718399999999999</v>
      </c>
      <c r="J77" s="32">
        <v>6.81</v>
      </c>
      <c r="K77" s="25">
        <v>3.9</v>
      </c>
      <c r="L77" s="25">
        <v>2.2000000000000002</v>
      </c>
      <c r="M77" s="25">
        <v>1.46</v>
      </c>
      <c r="N77" s="25">
        <v>6.5000000000000002E-2</v>
      </c>
      <c r="O77" s="33">
        <v>3.1E-2</v>
      </c>
      <c r="P77" s="51">
        <f t="shared" si="17"/>
        <v>3.0889615199999998</v>
      </c>
      <c r="Q77" s="51">
        <f t="shared" si="18"/>
        <v>3.9</v>
      </c>
      <c r="R77" s="51">
        <f t="shared" si="19"/>
        <v>0.99790240000000008</v>
      </c>
      <c r="S77" s="51">
        <f t="shared" si="20"/>
        <v>0.66224432</v>
      </c>
      <c r="T77" s="51">
        <f t="shared" si="21"/>
        <v>2.9483479999999999E-2</v>
      </c>
      <c r="U77" s="51">
        <f t="shared" si="22"/>
        <v>1.4061351999999999E-2</v>
      </c>
      <c r="V77" s="25">
        <v>10.1</v>
      </c>
      <c r="W77" s="47">
        <f t="shared" si="35"/>
        <v>4.5812792</v>
      </c>
      <c r="X77" s="44">
        <v>67.5</v>
      </c>
      <c r="Y77" s="54">
        <v>0.73</v>
      </c>
      <c r="Z77" s="47">
        <f t="shared" si="36"/>
        <v>0.33112216</v>
      </c>
      <c r="AA77" s="1">
        <v>0.45</v>
      </c>
      <c r="AB77" s="47">
        <f t="shared" si="37"/>
        <v>0.2041164</v>
      </c>
      <c r="AC77" s="1">
        <v>14.5</v>
      </c>
      <c r="AD77" s="1">
        <v>0.65</v>
      </c>
      <c r="AE77" s="6">
        <v>0.3</v>
      </c>
    </row>
    <row r="78" spans="1:31">
      <c r="A78" s="3"/>
      <c r="C78" s="47" t="str">
        <f t="shared" si="38"/>
        <v/>
      </c>
      <c r="D78" s="1">
        <v>500</v>
      </c>
      <c r="E78" s="47">
        <f t="shared" si="30"/>
        <v>226.79599999999999</v>
      </c>
      <c r="H78" s="1">
        <v>2</v>
      </c>
      <c r="I78" s="47">
        <f t="shared" si="31"/>
        <v>0.90718399999999999</v>
      </c>
      <c r="J78" s="32">
        <v>8.0399999999999991</v>
      </c>
      <c r="K78" s="25">
        <v>4.5999999999999996</v>
      </c>
      <c r="L78" s="25">
        <v>2.5</v>
      </c>
      <c r="M78" s="25">
        <v>1.51</v>
      </c>
      <c r="N78" s="25">
        <v>6.4000000000000001E-2</v>
      </c>
      <c r="O78" s="33">
        <v>3.1E-2</v>
      </c>
      <c r="P78" s="51">
        <f t="shared" si="17"/>
        <v>3.6468796799999996</v>
      </c>
      <c r="Q78" s="51">
        <f t="shared" si="18"/>
        <v>4.5999999999999996</v>
      </c>
      <c r="R78" s="51">
        <f t="shared" si="19"/>
        <v>1.13398</v>
      </c>
      <c r="S78" s="51">
        <f t="shared" si="20"/>
        <v>0.68492392000000002</v>
      </c>
      <c r="T78" s="51">
        <f t="shared" si="21"/>
        <v>2.9029888E-2</v>
      </c>
      <c r="U78" s="51">
        <f t="shared" si="22"/>
        <v>1.4061351999999999E-2</v>
      </c>
      <c r="V78" s="25">
        <v>11.9</v>
      </c>
      <c r="W78" s="47">
        <f t="shared" si="35"/>
        <v>5.3977447999999999</v>
      </c>
      <c r="X78" s="44">
        <v>67.400000000000006</v>
      </c>
      <c r="Y78" s="54">
        <v>0.73</v>
      </c>
      <c r="Z78" s="47">
        <f t="shared" si="36"/>
        <v>0.33112216</v>
      </c>
      <c r="AA78" s="1">
        <v>0.45</v>
      </c>
      <c r="AB78" s="47">
        <f t="shared" si="37"/>
        <v>0.2041164</v>
      </c>
      <c r="AC78" s="1">
        <v>12.7</v>
      </c>
      <c r="AD78" s="1">
        <v>0.54</v>
      </c>
      <c r="AE78" s="6">
        <v>0.26</v>
      </c>
    </row>
    <row r="79" spans="1:31">
      <c r="A79" s="3"/>
      <c r="C79" s="47" t="str">
        <f t="shared" si="38"/>
        <v/>
      </c>
      <c r="D79" s="1">
        <v>600</v>
      </c>
      <c r="E79" s="47">
        <f t="shared" si="30"/>
        <v>272.15519999999998</v>
      </c>
      <c r="H79" s="1">
        <v>2</v>
      </c>
      <c r="I79" s="47">
        <f t="shared" si="31"/>
        <v>0.90718399999999999</v>
      </c>
      <c r="J79" s="32">
        <v>9.23</v>
      </c>
      <c r="K79" s="25">
        <v>5.3</v>
      </c>
      <c r="L79" s="25">
        <v>2.9</v>
      </c>
      <c r="M79" s="25">
        <v>1.56</v>
      </c>
      <c r="N79" s="25">
        <v>6.4000000000000001E-2</v>
      </c>
      <c r="O79" s="33">
        <v>3.2000000000000001E-2</v>
      </c>
      <c r="P79" s="51">
        <f t="shared" si="17"/>
        <v>4.1866541599999998</v>
      </c>
      <c r="Q79" s="51">
        <f t="shared" si="18"/>
        <v>5.3</v>
      </c>
      <c r="R79" s="51">
        <f t="shared" si="19"/>
        <v>1.3154167999999999</v>
      </c>
      <c r="S79" s="51">
        <f t="shared" si="20"/>
        <v>0.70760352000000004</v>
      </c>
      <c r="T79" s="51">
        <f t="shared" si="21"/>
        <v>2.9029888E-2</v>
      </c>
      <c r="U79" s="51">
        <f t="shared" si="22"/>
        <v>1.4514944E-2</v>
      </c>
      <c r="V79" s="25">
        <v>13.7</v>
      </c>
      <c r="W79" s="47">
        <f t="shared" si="35"/>
        <v>6.2142103999999998</v>
      </c>
      <c r="X79" s="44">
        <v>67.5</v>
      </c>
      <c r="Y79" s="54">
        <v>0.73</v>
      </c>
      <c r="Z79" s="47">
        <f t="shared" si="36"/>
        <v>0.33112216</v>
      </c>
      <c r="AA79" s="1">
        <v>0.46</v>
      </c>
      <c r="AB79" s="47">
        <f t="shared" si="37"/>
        <v>0.20865232</v>
      </c>
      <c r="AC79" s="1">
        <v>11.4</v>
      </c>
      <c r="AD79" s="1">
        <v>0.47</v>
      </c>
      <c r="AE79" s="6">
        <v>0.24</v>
      </c>
    </row>
    <row r="80" spans="1:31">
      <c r="A80" s="3"/>
      <c r="C80" s="47" t="str">
        <f t="shared" si="38"/>
        <v/>
      </c>
      <c r="D80" s="1">
        <v>700</v>
      </c>
      <c r="E80" s="47">
        <f t="shared" si="30"/>
        <v>317.51440000000002</v>
      </c>
      <c r="H80" s="1">
        <v>2</v>
      </c>
      <c r="I80" s="47">
        <f t="shared" si="31"/>
        <v>0.90718399999999999</v>
      </c>
      <c r="J80" s="32">
        <v>10.34</v>
      </c>
      <c r="K80" s="25">
        <v>5.9</v>
      </c>
      <c r="L80" s="25">
        <v>3.3</v>
      </c>
      <c r="M80" s="25">
        <v>1.6</v>
      </c>
      <c r="N80" s="25">
        <v>6.4000000000000001E-2</v>
      </c>
      <c r="O80" s="33">
        <v>3.3000000000000002E-2</v>
      </c>
      <c r="P80" s="51">
        <f t="shared" si="17"/>
        <v>4.6901412799999997</v>
      </c>
      <c r="Q80" s="51">
        <f t="shared" si="18"/>
        <v>5.9</v>
      </c>
      <c r="R80" s="51">
        <f t="shared" si="19"/>
        <v>1.4968535999999999</v>
      </c>
      <c r="S80" s="51">
        <f t="shared" si="20"/>
        <v>0.72574720000000004</v>
      </c>
      <c r="T80" s="51">
        <f t="shared" si="21"/>
        <v>2.9029888E-2</v>
      </c>
      <c r="U80" s="51">
        <f t="shared" si="22"/>
        <v>1.4968536000000001E-2</v>
      </c>
      <c r="V80" s="25">
        <v>15.3</v>
      </c>
      <c r="W80" s="47">
        <f t="shared" si="35"/>
        <v>6.9399576000000005</v>
      </c>
      <c r="X80" s="44">
        <v>67.400000000000006</v>
      </c>
      <c r="Y80" s="54">
        <v>0.73</v>
      </c>
      <c r="Z80" s="47">
        <f t="shared" si="36"/>
        <v>0.33112216</v>
      </c>
      <c r="AA80" s="1">
        <v>0.45</v>
      </c>
      <c r="AB80" s="47">
        <f t="shared" si="37"/>
        <v>0.2041164</v>
      </c>
      <c r="AC80" s="1">
        <v>10.5</v>
      </c>
      <c r="AD80" s="1">
        <v>0.42</v>
      </c>
      <c r="AE80" s="6">
        <v>0.22</v>
      </c>
    </row>
    <row r="81" spans="1:31">
      <c r="A81" s="3"/>
      <c r="C81" s="47" t="str">
        <f t="shared" si="38"/>
        <v/>
      </c>
      <c r="D81" s="1">
        <v>800</v>
      </c>
      <c r="E81" s="47">
        <f t="shared" si="30"/>
        <v>362.87360000000001</v>
      </c>
      <c r="H81" s="1">
        <v>2</v>
      </c>
      <c r="I81" s="47">
        <f t="shared" si="31"/>
        <v>0.90718399999999999</v>
      </c>
      <c r="J81" s="32">
        <v>11.41</v>
      </c>
      <c r="K81" s="25">
        <v>6.5</v>
      </c>
      <c r="L81" s="25">
        <v>3.6</v>
      </c>
      <c r="M81" s="25">
        <v>1.65</v>
      </c>
      <c r="N81" s="25">
        <v>6.3E-2</v>
      </c>
      <c r="O81" s="33">
        <v>3.4000000000000002E-2</v>
      </c>
      <c r="P81" s="51">
        <f t="shared" si="17"/>
        <v>5.17548472</v>
      </c>
      <c r="Q81" s="51">
        <f t="shared" si="18"/>
        <v>6.5</v>
      </c>
      <c r="R81" s="51">
        <f t="shared" si="19"/>
        <v>1.6329312</v>
      </c>
      <c r="S81" s="51">
        <f t="shared" si="20"/>
        <v>0.74842679999999995</v>
      </c>
      <c r="T81" s="51">
        <f t="shared" si="21"/>
        <v>2.8576296000000001E-2</v>
      </c>
      <c r="U81" s="51">
        <f t="shared" si="22"/>
        <v>1.5422128E-2</v>
      </c>
      <c r="V81" s="25">
        <v>17</v>
      </c>
      <c r="W81" s="47">
        <f t="shared" si="35"/>
        <v>7.7110640000000004</v>
      </c>
      <c r="X81" s="44">
        <v>67.3</v>
      </c>
      <c r="Y81" s="54">
        <v>0.73</v>
      </c>
      <c r="Z81" s="47">
        <f t="shared" si="36"/>
        <v>0.33112216</v>
      </c>
      <c r="AA81" s="1">
        <v>0.45</v>
      </c>
      <c r="AB81" s="47">
        <f t="shared" si="37"/>
        <v>0.2041164</v>
      </c>
      <c r="AC81" s="1">
        <v>9.6999999999999993</v>
      </c>
      <c r="AD81" s="1">
        <v>0.37</v>
      </c>
      <c r="AE81" s="6">
        <v>0.2</v>
      </c>
    </row>
    <row r="82" spans="1:31">
      <c r="A82" s="3"/>
      <c r="C82" s="47" t="str">
        <f t="shared" si="38"/>
        <v/>
      </c>
      <c r="D82" s="1">
        <v>400</v>
      </c>
      <c r="E82" s="47">
        <f t="shared" si="30"/>
        <v>181.43680000000001</v>
      </c>
      <c r="H82" s="1">
        <v>2.5</v>
      </c>
      <c r="I82" s="47">
        <f t="shared" si="31"/>
        <v>1.13398</v>
      </c>
      <c r="J82" s="32">
        <v>7.31</v>
      </c>
      <c r="K82" s="25">
        <v>3.9</v>
      </c>
      <c r="L82" s="25">
        <v>2.7</v>
      </c>
      <c r="M82" s="25">
        <v>1.66</v>
      </c>
      <c r="N82" s="25">
        <v>7.8E-2</v>
      </c>
      <c r="O82" s="33">
        <v>3.5999999999999997E-2</v>
      </c>
      <c r="P82" s="51">
        <f t="shared" si="17"/>
        <v>3.3157575199999996</v>
      </c>
      <c r="Q82" s="51">
        <f t="shared" si="18"/>
        <v>3.9</v>
      </c>
      <c r="R82" s="51">
        <f t="shared" si="19"/>
        <v>1.2246984000000001</v>
      </c>
      <c r="S82" s="51">
        <f t="shared" si="20"/>
        <v>0.75296271999999997</v>
      </c>
      <c r="T82" s="51">
        <f t="shared" si="21"/>
        <v>3.5380175999999999E-2</v>
      </c>
      <c r="U82" s="51">
        <f t="shared" si="22"/>
        <v>1.6329311999999999E-2</v>
      </c>
      <c r="V82" s="25">
        <v>9.9</v>
      </c>
      <c r="W82" s="47">
        <f t="shared" si="35"/>
        <v>4.4905607999999999</v>
      </c>
      <c r="X82" s="44">
        <v>73.5</v>
      </c>
      <c r="Y82" s="54">
        <v>0.82</v>
      </c>
      <c r="Z82" s="47">
        <f t="shared" si="36"/>
        <v>0.37194543999999996</v>
      </c>
      <c r="AA82" s="1">
        <v>0.53</v>
      </c>
      <c r="AB82" s="47">
        <f t="shared" si="37"/>
        <v>0.24040376000000002</v>
      </c>
      <c r="AC82" s="1">
        <v>16.7</v>
      </c>
      <c r="AD82" s="1">
        <v>0.78</v>
      </c>
      <c r="AE82" s="6">
        <v>0.36</v>
      </c>
    </row>
    <row r="83" spans="1:31">
      <c r="A83" s="3"/>
      <c r="C83" s="47" t="str">
        <f t="shared" si="38"/>
        <v/>
      </c>
      <c r="D83" s="1">
        <v>500</v>
      </c>
      <c r="E83" s="47">
        <f t="shared" si="30"/>
        <v>226.79599999999999</v>
      </c>
      <c r="H83" s="1">
        <v>2.5</v>
      </c>
      <c r="I83" s="47">
        <f t="shared" si="31"/>
        <v>1.13398</v>
      </c>
      <c r="J83" s="32">
        <v>8.6300000000000008</v>
      </c>
      <c r="K83" s="25">
        <v>4.5999999999999996</v>
      </c>
      <c r="L83" s="25">
        <v>3.2</v>
      </c>
      <c r="M83" s="25">
        <v>1.7</v>
      </c>
      <c r="N83" s="25">
        <v>7.5999999999999998E-2</v>
      </c>
      <c r="O83" s="33">
        <v>3.5999999999999997E-2</v>
      </c>
      <c r="P83" s="51">
        <f t="shared" si="17"/>
        <v>3.9144989600000004</v>
      </c>
      <c r="Q83" s="51">
        <f t="shared" si="18"/>
        <v>4.5999999999999996</v>
      </c>
      <c r="R83" s="51">
        <f t="shared" si="19"/>
        <v>1.4514944000000001</v>
      </c>
      <c r="S83" s="51">
        <f t="shared" si="20"/>
        <v>0.77110639999999997</v>
      </c>
      <c r="T83" s="51">
        <f t="shared" si="21"/>
        <v>3.4472992000000001E-2</v>
      </c>
      <c r="U83" s="51">
        <f t="shared" si="22"/>
        <v>1.6329311999999999E-2</v>
      </c>
      <c r="V83" s="25">
        <v>11.8</v>
      </c>
      <c r="W83" s="47">
        <f t="shared" si="35"/>
        <v>5.3523855999999999</v>
      </c>
      <c r="X83" s="44">
        <v>73.5</v>
      </c>
      <c r="Y83" s="54">
        <v>0.82</v>
      </c>
      <c r="Z83" s="47">
        <f t="shared" si="36"/>
        <v>0.37194543999999996</v>
      </c>
      <c r="AA83" s="1">
        <v>0.53</v>
      </c>
      <c r="AB83" s="47">
        <f t="shared" si="37"/>
        <v>0.24040376000000002</v>
      </c>
      <c r="AC83" s="1">
        <v>14.5</v>
      </c>
      <c r="AD83" s="1">
        <v>0.65</v>
      </c>
      <c r="AE83" s="6">
        <v>0.31</v>
      </c>
    </row>
    <row r="84" spans="1:31">
      <c r="A84" s="3"/>
      <c r="C84" s="47" t="str">
        <f t="shared" si="38"/>
        <v/>
      </c>
      <c r="D84" s="1">
        <v>600</v>
      </c>
      <c r="E84" s="47">
        <f t="shared" si="30"/>
        <v>272.15519999999998</v>
      </c>
      <c r="H84" s="1">
        <v>2.5</v>
      </c>
      <c r="I84" s="47">
        <f t="shared" si="31"/>
        <v>1.13398</v>
      </c>
      <c r="J84" s="32">
        <v>9.92</v>
      </c>
      <c r="K84" s="25">
        <v>5.3</v>
      </c>
      <c r="L84" s="25">
        <v>3.7</v>
      </c>
      <c r="M84" s="25">
        <v>1.73</v>
      </c>
      <c r="N84" s="25">
        <v>7.4999999999999997E-2</v>
      </c>
      <c r="O84" s="33">
        <v>3.6999999999999998E-2</v>
      </c>
      <c r="P84" s="51">
        <f t="shared" si="17"/>
        <v>4.4996326399999997</v>
      </c>
      <c r="Q84" s="51">
        <f t="shared" si="18"/>
        <v>5.3</v>
      </c>
      <c r="R84" s="51">
        <f t="shared" si="19"/>
        <v>1.6782904000000001</v>
      </c>
      <c r="S84" s="51">
        <f t="shared" si="20"/>
        <v>0.78471415999999994</v>
      </c>
      <c r="T84" s="51">
        <f t="shared" si="21"/>
        <v>3.4019399999999998E-2</v>
      </c>
      <c r="U84" s="51">
        <f t="shared" si="22"/>
        <v>1.6782903999999998E-2</v>
      </c>
      <c r="V84" s="25">
        <v>13.5</v>
      </c>
      <c r="W84" s="47">
        <f t="shared" si="35"/>
        <v>6.1234919999999997</v>
      </c>
      <c r="X84" s="44">
        <v>73.599999999999994</v>
      </c>
      <c r="Y84" s="54">
        <v>0.82</v>
      </c>
      <c r="Z84" s="47">
        <f t="shared" si="36"/>
        <v>0.37194543999999996</v>
      </c>
      <c r="AA84" s="1">
        <v>0.53</v>
      </c>
      <c r="AB84" s="47">
        <f t="shared" si="37"/>
        <v>0.24040376000000002</v>
      </c>
      <c r="AC84" s="1">
        <v>12.9</v>
      </c>
      <c r="AD84" s="1">
        <v>0.56000000000000005</v>
      </c>
      <c r="AE84" s="6">
        <v>0.27</v>
      </c>
    </row>
    <row r="85" spans="1:31">
      <c r="A85" s="3"/>
      <c r="C85" s="47" t="str">
        <f t="shared" si="38"/>
        <v/>
      </c>
      <c r="D85" s="1">
        <v>700</v>
      </c>
      <c r="E85" s="47">
        <f t="shared" si="30"/>
        <v>317.51440000000002</v>
      </c>
      <c r="H85" s="1">
        <v>2.5</v>
      </c>
      <c r="I85" s="47">
        <f t="shared" si="31"/>
        <v>1.13398</v>
      </c>
      <c r="J85" s="32">
        <v>11.11</v>
      </c>
      <c r="K85" s="25">
        <v>5.9</v>
      </c>
      <c r="L85" s="25">
        <v>4.2</v>
      </c>
      <c r="M85" s="25">
        <v>1.76</v>
      </c>
      <c r="N85" s="25">
        <v>7.3999999999999996E-2</v>
      </c>
      <c r="O85" s="33">
        <v>3.6999999999999998E-2</v>
      </c>
      <c r="P85" s="51">
        <f t="shared" si="17"/>
        <v>5.0394071199999999</v>
      </c>
      <c r="Q85" s="51">
        <f t="shared" si="18"/>
        <v>5.9</v>
      </c>
      <c r="R85" s="51">
        <f t="shared" si="19"/>
        <v>1.9050864000000001</v>
      </c>
      <c r="S85" s="51">
        <f t="shared" si="20"/>
        <v>0.79832192000000002</v>
      </c>
      <c r="T85" s="51">
        <f t="shared" si="21"/>
        <v>3.3565807999999996E-2</v>
      </c>
      <c r="U85" s="51">
        <f t="shared" si="22"/>
        <v>1.6782903999999998E-2</v>
      </c>
      <c r="V85" s="25">
        <v>15.1</v>
      </c>
      <c r="W85" s="47">
        <f t="shared" si="35"/>
        <v>6.8492391999999995</v>
      </c>
      <c r="X85" s="44">
        <v>73.400000000000006</v>
      </c>
      <c r="Y85" s="54">
        <v>0.81</v>
      </c>
      <c r="Z85" s="47">
        <f t="shared" si="36"/>
        <v>0.36740952000000004</v>
      </c>
      <c r="AA85" s="1">
        <v>0.53</v>
      </c>
      <c r="AB85" s="47">
        <f t="shared" si="37"/>
        <v>0.24040376000000002</v>
      </c>
      <c r="AC85" s="1">
        <v>11.7</v>
      </c>
      <c r="AD85" s="1">
        <v>0.49</v>
      </c>
      <c r="AE85" s="6">
        <v>0.25</v>
      </c>
    </row>
    <row r="86" spans="1:31">
      <c r="A86" s="3"/>
      <c r="C86" s="47" t="str">
        <f t="shared" si="38"/>
        <v/>
      </c>
      <c r="D86" s="1">
        <v>800</v>
      </c>
      <c r="E86" s="47">
        <f t="shared" si="30"/>
        <v>362.87360000000001</v>
      </c>
      <c r="H86" s="1">
        <v>2.5</v>
      </c>
      <c r="I86" s="47">
        <f t="shared" si="31"/>
        <v>1.13398</v>
      </c>
      <c r="J86" s="32">
        <v>12.27</v>
      </c>
      <c r="K86" s="25">
        <v>6.5</v>
      </c>
      <c r="L86" s="25">
        <v>4.5999999999999996</v>
      </c>
      <c r="M86" s="25">
        <v>1.8</v>
      </c>
      <c r="N86" s="25">
        <v>7.2999999999999995E-2</v>
      </c>
      <c r="O86" s="33">
        <v>3.7999999999999999E-2</v>
      </c>
      <c r="P86" s="51">
        <f t="shared" si="17"/>
        <v>5.5655738399999999</v>
      </c>
      <c r="Q86" s="51">
        <f t="shared" si="18"/>
        <v>6.5</v>
      </c>
      <c r="R86" s="51">
        <f t="shared" si="19"/>
        <v>2.0865231999999998</v>
      </c>
      <c r="S86" s="51">
        <f t="shared" si="20"/>
        <v>0.81646560000000001</v>
      </c>
      <c r="T86" s="51">
        <f t="shared" si="21"/>
        <v>3.3112216E-2</v>
      </c>
      <c r="U86" s="51">
        <f t="shared" si="22"/>
        <v>1.7236496E-2</v>
      </c>
      <c r="V86" s="25">
        <v>16.7</v>
      </c>
      <c r="W86" s="47">
        <f t="shared" si="35"/>
        <v>7.5749863999999993</v>
      </c>
      <c r="X86" s="44">
        <v>73.3</v>
      </c>
      <c r="Y86" s="54">
        <v>0.81</v>
      </c>
      <c r="Z86" s="47">
        <f t="shared" si="36"/>
        <v>0.36740952000000004</v>
      </c>
      <c r="AA86" s="1">
        <v>0.53</v>
      </c>
      <c r="AB86" s="47">
        <f t="shared" si="37"/>
        <v>0.24040376000000002</v>
      </c>
      <c r="AC86" s="1">
        <v>10.7</v>
      </c>
      <c r="AD86" s="1">
        <v>0.43</v>
      </c>
      <c r="AE86" s="6">
        <v>0.23</v>
      </c>
    </row>
    <row r="87" spans="1:31">
      <c r="A87" s="3"/>
      <c r="C87" s="47" t="str">
        <f t="shared" si="38"/>
        <v/>
      </c>
      <c r="D87" s="1">
        <v>400</v>
      </c>
      <c r="E87" s="47">
        <f t="shared" si="30"/>
        <v>181.43680000000001</v>
      </c>
      <c r="H87" s="1">
        <v>3</v>
      </c>
      <c r="I87" s="47">
        <f t="shared" si="31"/>
        <v>1.360776</v>
      </c>
      <c r="J87" s="32">
        <v>7.77</v>
      </c>
      <c r="K87" s="25">
        <v>3.9</v>
      </c>
      <c r="L87" s="25">
        <v>3.4</v>
      </c>
      <c r="M87" s="25">
        <v>1.87</v>
      </c>
      <c r="N87" s="25">
        <v>9.0999999999999998E-2</v>
      </c>
      <c r="O87" s="33">
        <v>4.1000000000000002E-2</v>
      </c>
      <c r="P87" s="51">
        <f t="shared" si="17"/>
        <v>3.5244098399999997</v>
      </c>
      <c r="Q87" s="51">
        <f t="shared" si="18"/>
        <v>3.9</v>
      </c>
      <c r="R87" s="51">
        <f t="shared" si="19"/>
        <v>1.5422127999999999</v>
      </c>
      <c r="S87" s="51">
        <f t="shared" si="20"/>
        <v>0.84821704000000009</v>
      </c>
      <c r="T87" s="51">
        <f t="shared" si="21"/>
        <v>4.1276871999999999E-2</v>
      </c>
      <c r="U87" s="51">
        <f t="shared" si="22"/>
        <v>1.8597272000000001E-2</v>
      </c>
      <c r="V87" s="25">
        <v>9.5</v>
      </c>
      <c r="W87" s="47">
        <f t="shared" si="35"/>
        <v>4.3091239999999997</v>
      </c>
      <c r="X87" s="44">
        <v>81.5</v>
      </c>
      <c r="Y87" s="54">
        <v>0.93</v>
      </c>
      <c r="Z87" s="47">
        <f t="shared" si="36"/>
        <v>0.42184056000000003</v>
      </c>
      <c r="AA87" s="1">
        <v>0.63</v>
      </c>
      <c r="AB87" s="47">
        <f t="shared" si="37"/>
        <v>0.28576296000000001</v>
      </c>
      <c r="AC87" s="1">
        <v>19.600000000000001</v>
      </c>
      <c r="AD87" s="1">
        <v>0.95</v>
      </c>
      <c r="AE87" s="6">
        <v>0.43</v>
      </c>
    </row>
    <row r="88" spans="1:31">
      <c r="A88" s="3"/>
      <c r="C88" s="47" t="str">
        <f t="shared" si="38"/>
        <v/>
      </c>
      <c r="D88" s="1">
        <v>500</v>
      </c>
      <c r="E88" s="47">
        <f t="shared" si="30"/>
        <v>226.79599999999999</v>
      </c>
      <c r="H88" s="1">
        <v>3</v>
      </c>
      <c r="I88" s="47">
        <f t="shared" si="31"/>
        <v>1.360776</v>
      </c>
      <c r="J88" s="32">
        <v>9.18</v>
      </c>
      <c r="K88" s="25">
        <v>4.5999999999999996</v>
      </c>
      <c r="L88" s="25">
        <v>4</v>
      </c>
      <c r="M88" s="25">
        <v>1.89</v>
      </c>
      <c r="N88" s="25">
        <v>8.7999999999999995E-2</v>
      </c>
      <c r="O88" s="33">
        <v>4.1000000000000002E-2</v>
      </c>
      <c r="P88" s="51">
        <f t="shared" si="17"/>
        <v>4.1639745599999998</v>
      </c>
      <c r="Q88" s="51">
        <f t="shared" si="18"/>
        <v>4.5999999999999996</v>
      </c>
      <c r="R88" s="51">
        <f t="shared" si="19"/>
        <v>1.814368</v>
      </c>
      <c r="S88" s="51">
        <f t="shared" si="20"/>
        <v>0.85728887999999992</v>
      </c>
      <c r="T88" s="51">
        <f t="shared" si="21"/>
        <v>3.9916095999999998E-2</v>
      </c>
      <c r="U88" s="51">
        <f t="shared" si="22"/>
        <v>1.8597272000000001E-2</v>
      </c>
      <c r="V88" s="25">
        <v>11.3</v>
      </c>
      <c r="W88" s="47">
        <f t="shared" si="35"/>
        <v>5.1255896000000005</v>
      </c>
      <c r="X88" s="44">
        <v>81.400000000000006</v>
      </c>
      <c r="Y88" s="54">
        <v>0.93</v>
      </c>
      <c r="Z88" s="47">
        <f t="shared" si="36"/>
        <v>0.42184056000000003</v>
      </c>
      <c r="AA88" s="1">
        <v>0.63</v>
      </c>
      <c r="AB88" s="47">
        <f t="shared" si="37"/>
        <v>0.28576296000000001</v>
      </c>
      <c r="AC88" s="1">
        <v>16.7</v>
      </c>
      <c r="AD88" s="1">
        <v>0.78</v>
      </c>
      <c r="AE88" s="6">
        <v>0.36</v>
      </c>
    </row>
    <row r="89" spans="1:31">
      <c r="A89" s="3"/>
      <c r="C89" s="47" t="str">
        <f t="shared" si="38"/>
        <v/>
      </c>
      <c r="D89" s="1">
        <v>600</v>
      </c>
      <c r="E89" s="47">
        <f t="shared" si="30"/>
        <v>272.15519999999998</v>
      </c>
      <c r="H89" s="1">
        <v>3</v>
      </c>
      <c r="I89" s="47">
        <f t="shared" si="31"/>
        <v>1.360776</v>
      </c>
      <c r="J89" s="32">
        <v>10.54</v>
      </c>
      <c r="K89" s="25">
        <v>5.3</v>
      </c>
      <c r="L89" s="25">
        <v>4.5</v>
      </c>
      <c r="M89" s="25">
        <v>1.9</v>
      </c>
      <c r="N89" s="25">
        <v>8.5999999999999993E-2</v>
      </c>
      <c r="O89" s="33">
        <v>4.1000000000000002E-2</v>
      </c>
      <c r="P89" s="51">
        <f t="shared" si="17"/>
        <v>4.7808596799999998</v>
      </c>
      <c r="Q89" s="51">
        <f t="shared" si="18"/>
        <v>5.3</v>
      </c>
      <c r="R89" s="51">
        <f t="shared" si="19"/>
        <v>2.0411640000000002</v>
      </c>
      <c r="S89" s="51">
        <f t="shared" si="20"/>
        <v>0.86182479999999995</v>
      </c>
      <c r="T89" s="51">
        <f t="shared" si="21"/>
        <v>3.9008912E-2</v>
      </c>
      <c r="U89" s="51">
        <f t="shared" si="22"/>
        <v>1.8597272000000001E-2</v>
      </c>
      <c r="V89" s="25">
        <v>12.9</v>
      </c>
      <c r="W89" s="47">
        <f t="shared" si="35"/>
        <v>5.8513368000000003</v>
      </c>
      <c r="X89" s="44">
        <v>81.599999999999994</v>
      </c>
      <c r="Y89" s="54">
        <v>0.93</v>
      </c>
      <c r="Z89" s="47">
        <f t="shared" si="36"/>
        <v>0.42184056000000003</v>
      </c>
      <c r="AA89" s="1">
        <v>0.63</v>
      </c>
      <c r="AB89" s="47">
        <f t="shared" si="37"/>
        <v>0.28576296000000001</v>
      </c>
      <c r="AC89" s="1">
        <v>14.7</v>
      </c>
      <c r="AD89" s="1">
        <v>0.66</v>
      </c>
      <c r="AE89" s="6">
        <v>0.32</v>
      </c>
    </row>
    <row r="90" spans="1:31">
      <c r="A90" s="3"/>
      <c r="C90" s="47" t="str">
        <f t="shared" si="38"/>
        <v/>
      </c>
      <c r="D90" s="1">
        <v>700</v>
      </c>
      <c r="E90" s="47">
        <f t="shared" si="30"/>
        <v>317.51440000000002</v>
      </c>
      <c r="H90" s="1">
        <v>3</v>
      </c>
      <c r="I90" s="47">
        <f t="shared" si="31"/>
        <v>1.360776</v>
      </c>
      <c r="J90" s="32">
        <v>11.81</v>
      </c>
      <c r="K90" s="25">
        <v>5.9</v>
      </c>
      <c r="L90" s="25">
        <v>5.0999999999999996</v>
      </c>
      <c r="M90" s="25">
        <v>1.92</v>
      </c>
      <c r="N90" s="25">
        <v>8.3000000000000004E-2</v>
      </c>
      <c r="O90" s="33">
        <v>4.1000000000000002E-2</v>
      </c>
      <c r="P90" s="51">
        <f t="shared" si="17"/>
        <v>5.3569215200000002</v>
      </c>
      <c r="Q90" s="51">
        <f t="shared" si="18"/>
        <v>5.9</v>
      </c>
      <c r="R90" s="51">
        <f t="shared" si="19"/>
        <v>2.3133192</v>
      </c>
      <c r="S90" s="51">
        <f t="shared" si="20"/>
        <v>0.87089664</v>
      </c>
      <c r="T90" s="51">
        <f t="shared" si="21"/>
        <v>3.7648135999999999E-2</v>
      </c>
      <c r="U90" s="51">
        <f t="shared" si="22"/>
        <v>1.8597272000000001E-2</v>
      </c>
      <c r="V90" s="25">
        <v>14.5</v>
      </c>
      <c r="W90" s="47">
        <f t="shared" si="35"/>
        <v>6.5770840000000002</v>
      </c>
      <c r="X90" s="44">
        <v>81.2</v>
      </c>
      <c r="Y90" s="54">
        <v>0.93</v>
      </c>
      <c r="Z90" s="47">
        <f t="shared" si="36"/>
        <v>0.42184056000000003</v>
      </c>
      <c r="AA90" s="1">
        <v>0.63</v>
      </c>
      <c r="AB90" s="47">
        <f t="shared" si="37"/>
        <v>0.28576296000000001</v>
      </c>
      <c r="AC90" s="1">
        <v>13.2</v>
      </c>
      <c r="AD90" s="1">
        <v>0.56999999999999995</v>
      </c>
      <c r="AE90" s="6">
        <v>0.28000000000000003</v>
      </c>
    </row>
    <row r="91" spans="1:31">
      <c r="A91" s="13"/>
      <c r="B91" s="8"/>
      <c r="C91" s="47" t="str">
        <f t="shared" si="38"/>
        <v/>
      </c>
      <c r="D91" s="8">
        <v>800</v>
      </c>
      <c r="E91" s="47">
        <f t="shared" si="30"/>
        <v>362.87360000000001</v>
      </c>
      <c r="F91" s="8"/>
      <c r="G91" s="8"/>
      <c r="H91" s="1">
        <v>3</v>
      </c>
      <c r="I91" s="47">
        <f t="shared" si="31"/>
        <v>1.360776</v>
      </c>
      <c r="J91" s="34">
        <v>13.04</v>
      </c>
      <c r="K91" s="35">
        <v>6.5</v>
      </c>
      <c r="L91" s="35">
        <v>5.6</v>
      </c>
      <c r="M91" s="35">
        <v>1.94</v>
      </c>
      <c r="N91" s="35">
        <v>8.1000000000000003E-2</v>
      </c>
      <c r="O91" s="36">
        <v>4.1000000000000002E-2</v>
      </c>
      <c r="P91" s="51">
        <f t="shared" si="17"/>
        <v>5.9148396799999992</v>
      </c>
      <c r="Q91" s="51">
        <f t="shared" si="18"/>
        <v>6.5</v>
      </c>
      <c r="R91" s="51">
        <f t="shared" si="19"/>
        <v>2.5401151999999998</v>
      </c>
      <c r="S91" s="51">
        <f t="shared" si="20"/>
        <v>0.87996847999999994</v>
      </c>
      <c r="T91" s="51">
        <f t="shared" si="21"/>
        <v>3.6740952E-2</v>
      </c>
      <c r="U91" s="51">
        <f t="shared" si="22"/>
        <v>1.8597272000000001E-2</v>
      </c>
      <c r="V91" s="35">
        <v>16.100000000000001</v>
      </c>
      <c r="W91" s="47">
        <f t="shared" si="35"/>
        <v>7.3028312000000009</v>
      </c>
      <c r="X91" s="46">
        <v>81.099999999999994</v>
      </c>
      <c r="Y91" s="56">
        <v>0.92</v>
      </c>
      <c r="Z91" s="47">
        <f t="shared" si="36"/>
        <v>0.41730464</v>
      </c>
      <c r="AA91" s="8">
        <v>0.62</v>
      </c>
      <c r="AB91" s="47">
        <f t="shared" si="37"/>
        <v>0.28122703999999998</v>
      </c>
      <c r="AC91" s="8">
        <v>12.1</v>
      </c>
      <c r="AD91" s="8">
        <v>0.51</v>
      </c>
      <c r="AE91" s="9">
        <v>0.26</v>
      </c>
    </row>
    <row r="92" spans="1:31">
      <c r="C92" s="47" t="str">
        <f t="shared" si="38"/>
        <v/>
      </c>
      <c r="E92" s="47" t="str">
        <f t="shared" si="30"/>
        <v/>
      </c>
      <c r="I92" s="47" t="str">
        <f t="shared" si="31"/>
        <v/>
      </c>
      <c r="P92" s="51">
        <f t="shared" ref="P92:P155" si="39">J92*$B$1</f>
        <v>0</v>
      </c>
      <c r="Q92" s="51">
        <f t="shared" ref="Q92:Q155" si="40">K92</f>
        <v>0</v>
      </c>
      <c r="R92" s="51">
        <f t="shared" ref="R92:R155" si="41">L92*$B$1</f>
        <v>0</v>
      </c>
      <c r="S92" s="51">
        <f t="shared" ref="S92:S155" si="42">M92*$B$1</f>
        <v>0</v>
      </c>
      <c r="T92" s="51">
        <f t="shared" ref="T92:T155" si="43">N92*$B$1</f>
        <v>0</v>
      </c>
      <c r="U92" s="51">
        <f t="shared" ref="U92:U155" si="44">O92*$B$1</f>
        <v>0</v>
      </c>
    </row>
    <row r="93" spans="1:31">
      <c r="A93" s="11"/>
      <c r="B93" s="10"/>
      <c r="C93" s="47" t="str">
        <f t="shared" si="38"/>
        <v/>
      </c>
      <c r="D93" s="10"/>
      <c r="E93" s="47" t="str">
        <f t="shared" si="30"/>
        <v/>
      </c>
      <c r="F93" s="10"/>
      <c r="G93" s="10"/>
      <c r="H93" s="10"/>
      <c r="I93" s="47" t="str">
        <f t="shared" si="31"/>
        <v/>
      </c>
      <c r="J93" s="26" t="s">
        <v>10</v>
      </c>
      <c r="K93" s="27"/>
      <c r="L93" s="27"/>
      <c r="M93" s="27"/>
      <c r="N93" s="27"/>
      <c r="O93" s="28"/>
      <c r="P93" s="51" t="e">
        <f t="shared" si="39"/>
        <v>#VALUE!</v>
      </c>
      <c r="Q93" s="51">
        <f t="shared" si="40"/>
        <v>0</v>
      </c>
      <c r="R93" s="51">
        <f t="shared" si="41"/>
        <v>0</v>
      </c>
      <c r="S93" s="51">
        <f t="shared" si="42"/>
        <v>0</v>
      </c>
      <c r="T93" s="51">
        <f t="shared" si="43"/>
        <v>0</v>
      </c>
      <c r="U93" s="51">
        <f t="shared" si="44"/>
        <v>0</v>
      </c>
      <c r="V93" s="21" t="s">
        <v>21</v>
      </c>
      <c r="W93" s="21"/>
      <c r="X93" s="21"/>
      <c r="Y93" s="21"/>
      <c r="Z93" s="21"/>
      <c r="AA93" s="21"/>
      <c r="AB93" s="21"/>
      <c r="AC93" s="21"/>
      <c r="AD93" s="21"/>
      <c r="AE93" s="22"/>
    </row>
    <row r="94" spans="1:31" ht="26">
      <c r="A94" s="12" t="s">
        <v>41</v>
      </c>
      <c r="B94" s="2" t="s">
        <v>27</v>
      </c>
      <c r="C94" s="47" t="s">
        <v>132</v>
      </c>
      <c r="D94" s="2" t="s">
        <v>31</v>
      </c>
      <c r="E94" s="49" t="s">
        <v>128</v>
      </c>
      <c r="F94" s="2"/>
      <c r="G94" s="2"/>
      <c r="H94" s="2" t="s">
        <v>30</v>
      </c>
      <c r="I94" s="45" t="s">
        <v>133</v>
      </c>
      <c r="J94" s="29" t="s">
        <v>11</v>
      </c>
      <c r="K94" s="30" t="s">
        <v>23</v>
      </c>
      <c r="L94" s="30" t="s">
        <v>24</v>
      </c>
      <c r="M94" s="30" t="s">
        <v>12</v>
      </c>
      <c r="N94" s="30" t="s">
        <v>13</v>
      </c>
      <c r="O94" s="31" t="s">
        <v>14</v>
      </c>
      <c r="P94" s="48" t="s">
        <v>130</v>
      </c>
      <c r="Q94" s="49" t="s">
        <v>23</v>
      </c>
      <c r="R94" s="49" t="s">
        <v>129</v>
      </c>
      <c r="S94" s="49" t="s">
        <v>117</v>
      </c>
      <c r="T94" s="49" t="s">
        <v>118</v>
      </c>
      <c r="U94" s="50" t="s">
        <v>119</v>
      </c>
      <c r="V94" s="29" t="s">
        <v>15</v>
      </c>
      <c r="W94" s="48" t="s">
        <v>120</v>
      </c>
      <c r="X94" s="45" t="s">
        <v>16</v>
      </c>
      <c r="Y94" s="55" t="s">
        <v>17</v>
      </c>
      <c r="Z94" s="49" t="s">
        <v>126</v>
      </c>
      <c r="AA94" s="2" t="s">
        <v>24</v>
      </c>
      <c r="AB94" s="49" t="s">
        <v>127</v>
      </c>
      <c r="AC94" s="2" t="s">
        <v>18</v>
      </c>
      <c r="AD94" s="2" t="s">
        <v>19</v>
      </c>
      <c r="AE94" s="4" t="s">
        <v>20</v>
      </c>
    </row>
    <row r="95" spans="1:31">
      <c r="A95" s="3"/>
      <c r="B95" s="1">
        <v>1200</v>
      </c>
      <c r="C95" s="47">
        <f t="shared" si="38"/>
        <v>544.31039999999996</v>
      </c>
      <c r="D95" s="1">
        <v>600</v>
      </c>
      <c r="E95" s="47">
        <f t="shared" si="30"/>
        <v>272.15519999999998</v>
      </c>
      <c r="H95" s="1">
        <v>1</v>
      </c>
      <c r="I95" s="47">
        <f t="shared" si="31"/>
        <v>0.453592</v>
      </c>
      <c r="J95" s="32">
        <v>8.39</v>
      </c>
      <c r="K95" s="25">
        <v>5.3</v>
      </c>
      <c r="L95" s="25">
        <v>1.4</v>
      </c>
      <c r="M95" s="25">
        <v>1.26</v>
      </c>
      <c r="N95" s="25">
        <v>4.2000000000000003E-2</v>
      </c>
      <c r="O95" s="33">
        <v>2.3E-2</v>
      </c>
      <c r="P95" s="51">
        <f t="shared" si="39"/>
        <v>3.8056368800000002</v>
      </c>
      <c r="Q95" s="51">
        <f t="shared" si="40"/>
        <v>5.3</v>
      </c>
      <c r="R95" s="51">
        <f t="shared" si="41"/>
        <v>0.63502879999999995</v>
      </c>
      <c r="S95" s="51">
        <f t="shared" si="42"/>
        <v>0.57152592000000002</v>
      </c>
      <c r="T95" s="51">
        <f t="shared" si="43"/>
        <v>1.9050864000000001E-2</v>
      </c>
      <c r="U95" s="51">
        <f t="shared" si="44"/>
        <v>1.0432616E-2</v>
      </c>
      <c r="V95" s="25">
        <v>15.8</v>
      </c>
      <c r="W95" s="47">
        <f>V95*$B$1</f>
        <v>7.1667535999999998</v>
      </c>
      <c r="X95" s="44">
        <v>53.1</v>
      </c>
      <c r="Y95" s="54">
        <v>0.51</v>
      </c>
      <c r="Z95" s="47">
        <f>IF(Y95&gt;0,(Y95*$B$1),"")</f>
        <v>0.23133192</v>
      </c>
      <c r="AA95" s="1">
        <v>0.25</v>
      </c>
      <c r="AB95" s="47">
        <f>IF(AA95&gt;0,(AA95*$B$1),"")</f>
        <v>0.113398</v>
      </c>
      <c r="AC95" s="1">
        <v>8</v>
      </c>
      <c r="AD95" s="1">
        <v>0.26</v>
      </c>
      <c r="AE95" s="6">
        <v>0.15</v>
      </c>
    </row>
    <row r="96" spans="1:31">
      <c r="A96" s="3"/>
      <c r="C96" s="47" t="str">
        <f t="shared" si="38"/>
        <v/>
      </c>
      <c r="D96" s="1">
        <v>700</v>
      </c>
      <c r="E96" s="47">
        <f t="shared" si="30"/>
        <v>317.51440000000002</v>
      </c>
      <c r="H96" s="1">
        <v>1</v>
      </c>
      <c r="I96" s="47">
        <f t="shared" si="31"/>
        <v>0.453592</v>
      </c>
      <c r="J96" s="32">
        <v>9.39</v>
      </c>
      <c r="K96" s="25">
        <v>5.9</v>
      </c>
      <c r="L96" s="25">
        <v>1.5</v>
      </c>
      <c r="M96" s="25">
        <v>1.33</v>
      </c>
      <c r="N96" s="25">
        <v>4.2999999999999997E-2</v>
      </c>
      <c r="O96" s="33">
        <v>2.5000000000000001E-2</v>
      </c>
      <c r="P96" s="51">
        <f t="shared" si="39"/>
        <v>4.2592288800000002</v>
      </c>
      <c r="Q96" s="51">
        <f t="shared" si="40"/>
        <v>5.9</v>
      </c>
      <c r="R96" s="51">
        <f t="shared" si="41"/>
        <v>0.68038799999999999</v>
      </c>
      <c r="S96" s="51">
        <f t="shared" si="42"/>
        <v>0.60327735999999998</v>
      </c>
      <c r="T96" s="51">
        <f t="shared" si="43"/>
        <v>1.9504456E-2</v>
      </c>
      <c r="U96" s="51">
        <f t="shared" si="44"/>
        <v>1.1339800000000001E-2</v>
      </c>
      <c r="V96" s="25">
        <v>17.7</v>
      </c>
      <c r="W96" s="47">
        <f t="shared" ref="W96:W130" si="45">V96*$B$1</f>
        <v>8.0285783999999989</v>
      </c>
      <c r="X96" s="44">
        <v>53</v>
      </c>
      <c r="Y96" s="54">
        <v>0.51</v>
      </c>
      <c r="Z96" s="47">
        <f t="shared" ref="Z96:Z130" si="46">IF(Y96&gt;0,(Y96*$B$1),"")</f>
        <v>0.23133192</v>
      </c>
      <c r="AA96" s="1">
        <v>0.25</v>
      </c>
      <c r="AB96" s="47">
        <f t="shared" ref="AB96:AB130" si="47">IF(AA96&gt;0,(AA96*$B$1),"")</f>
        <v>0.113398</v>
      </c>
      <c r="AC96" s="1">
        <v>7.5</v>
      </c>
      <c r="AD96" s="1">
        <v>0.24</v>
      </c>
      <c r="AE96" s="6">
        <v>0.14000000000000001</v>
      </c>
    </row>
    <row r="97" spans="1:31">
      <c r="A97" s="3"/>
      <c r="C97" s="47" t="str">
        <f t="shared" si="38"/>
        <v/>
      </c>
      <c r="D97" s="1">
        <v>800</v>
      </c>
      <c r="E97" s="47">
        <f t="shared" si="30"/>
        <v>362.87360000000001</v>
      </c>
      <c r="H97" s="1">
        <v>1</v>
      </c>
      <c r="I97" s="47">
        <f t="shared" si="31"/>
        <v>0.453592</v>
      </c>
      <c r="J97" s="32">
        <v>10.36</v>
      </c>
      <c r="K97" s="25">
        <v>6.5</v>
      </c>
      <c r="L97" s="25">
        <v>1.7</v>
      </c>
      <c r="M97" s="25">
        <v>1.4</v>
      </c>
      <c r="N97" s="25">
        <v>4.4999999999999998E-2</v>
      </c>
      <c r="O97" s="33">
        <v>2.7E-2</v>
      </c>
      <c r="P97" s="51">
        <f t="shared" si="39"/>
        <v>4.6992131199999996</v>
      </c>
      <c r="Q97" s="51">
        <f t="shared" si="40"/>
        <v>6.5</v>
      </c>
      <c r="R97" s="51">
        <f t="shared" si="41"/>
        <v>0.77110639999999997</v>
      </c>
      <c r="S97" s="51">
        <f t="shared" si="42"/>
        <v>0.63502879999999995</v>
      </c>
      <c r="T97" s="51">
        <f t="shared" si="43"/>
        <v>2.0411639999999998E-2</v>
      </c>
      <c r="U97" s="51">
        <f t="shared" si="44"/>
        <v>1.2246983999999999E-2</v>
      </c>
      <c r="V97" s="25">
        <v>19.600000000000001</v>
      </c>
      <c r="W97" s="47">
        <f t="shared" si="45"/>
        <v>8.8904031999999997</v>
      </c>
      <c r="X97" s="44">
        <v>53</v>
      </c>
      <c r="Y97" s="54">
        <v>0.51</v>
      </c>
      <c r="Z97" s="47">
        <f t="shared" si="46"/>
        <v>0.23133192</v>
      </c>
      <c r="AA97" s="1">
        <v>0.25</v>
      </c>
      <c r="AB97" s="47">
        <f t="shared" si="47"/>
        <v>0.113398</v>
      </c>
      <c r="AC97" s="1">
        <v>7.2</v>
      </c>
      <c r="AD97" s="1">
        <v>0.23</v>
      </c>
      <c r="AE97" s="6">
        <v>0.14000000000000001</v>
      </c>
    </row>
    <row r="98" spans="1:31">
      <c r="A98" s="3"/>
      <c r="C98" s="47" t="str">
        <f t="shared" si="38"/>
        <v/>
      </c>
      <c r="D98" s="1">
        <v>900</v>
      </c>
      <c r="E98" s="47">
        <f t="shared" si="30"/>
        <v>408.2328</v>
      </c>
      <c r="H98" s="1">
        <v>1</v>
      </c>
      <c r="I98" s="47">
        <f t="shared" si="31"/>
        <v>0.453592</v>
      </c>
      <c r="J98" s="32">
        <v>11.31</v>
      </c>
      <c r="K98" s="25">
        <v>7.1</v>
      </c>
      <c r="L98" s="25">
        <v>1.8</v>
      </c>
      <c r="M98" s="25">
        <v>1.47</v>
      </c>
      <c r="N98" s="25">
        <v>4.5999999999999999E-2</v>
      </c>
      <c r="O98" s="33">
        <v>2.8000000000000001E-2</v>
      </c>
      <c r="P98" s="51">
        <f t="shared" si="39"/>
        <v>5.13012552</v>
      </c>
      <c r="Q98" s="51">
        <f t="shared" si="40"/>
        <v>7.1</v>
      </c>
      <c r="R98" s="51">
        <f t="shared" si="41"/>
        <v>0.81646560000000001</v>
      </c>
      <c r="S98" s="51">
        <f t="shared" si="42"/>
        <v>0.66678024000000002</v>
      </c>
      <c r="T98" s="51">
        <f t="shared" si="43"/>
        <v>2.0865232000000001E-2</v>
      </c>
      <c r="U98" s="51">
        <f t="shared" si="44"/>
        <v>1.2700576E-2</v>
      </c>
      <c r="V98" s="25">
        <v>21.4</v>
      </c>
      <c r="W98" s="47">
        <f t="shared" si="45"/>
        <v>9.7068687999999987</v>
      </c>
      <c r="X98" s="44">
        <v>52.9</v>
      </c>
      <c r="Y98" s="54">
        <v>0.51</v>
      </c>
      <c r="Z98" s="47">
        <f t="shared" si="46"/>
        <v>0.23133192</v>
      </c>
      <c r="AA98" s="1">
        <v>0.25</v>
      </c>
      <c r="AB98" s="47">
        <f t="shared" si="47"/>
        <v>0.113398</v>
      </c>
      <c r="AC98" s="1">
        <v>6.9</v>
      </c>
      <c r="AD98" s="1">
        <v>0.22</v>
      </c>
      <c r="AE98" s="6">
        <v>0.13</v>
      </c>
    </row>
    <row r="99" spans="1:31">
      <c r="A99" s="3"/>
      <c r="C99" s="47" t="str">
        <f t="shared" si="38"/>
        <v/>
      </c>
      <c r="D99" s="15">
        <v>1000</v>
      </c>
      <c r="E99" s="47">
        <f t="shared" si="30"/>
        <v>453.59199999999998</v>
      </c>
      <c r="F99" s="15"/>
      <c r="G99" s="15"/>
      <c r="H99" s="1">
        <v>1</v>
      </c>
      <c r="I99" s="47">
        <f t="shared" si="31"/>
        <v>0.453592</v>
      </c>
      <c r="J99" s="32">
        <v>12.25</v>
      </c>
      <c r="K99" s="25">
        <v>7.7</v>
      </c>
      <c r="L99" s="25">
        <v>2</v>
      </c>
      <c r="M99" s="25">
        <v>1.53</v>
      </c>
      <c r="N99" s="25">
        <v>4.8000000000000001E-2</v>
      </c>
      <c r="O99" s="33">
        <v>0.03</v>
      </c>
      <c r="P99" s="51">
        <f t="shared" si="39"/>
        <v>5.5565020000000001</v>
      </c>
      <c r="Q99" s="51">
        <f t="shared" si="40"/>
        <v>7.7</v>
      </c>
      <c r="R99" s="51">
        <f t="shared" si="41"/>
        <v>0.90718399999999999</v>
      </c>
      <c r="S99" s="51">
        <f t="shared" si="42"/>
        <v>0.69399575999999996</v>
      </c>
      <c r="T99" s="51">
        <f t="shared" si="43"/>
        <v>2.1772415999999999E-2</v>
      </c>
      <c r="U99" s="51">
        <f t="shared" si="44"/>
        <v>1.360776E-2</v>
      </c>
      <c r="V99" s="25">
        <v>23.1</v>
      </c>
      <c r="W99" s="47">
        <f t="shared" si="45"/>
        <v>10.477975200000001</v>
      </c>
      <c r="X99" s="44">
        <v>52.9</v>
      </c>
      <c r="Y99" s="54">
        <v>0.51</v>
      </c>
      <c r="Z99" s="47">
        <f t="shared" si="46"/>
        <v>0.23133192</v>
      </c>
      <c r="AA99" s="1">
        <v>0.25</v>
      </c>
      <c r="AB99" s="47">
        <f t="shared" si="47"/>
        <v>0.113398</v>
      </c>
      <c r="AC99" s="1">
        <v>6.6</v>
      </c>
      <c r="AD99" s="1">
        <v>0.21</v>
      </c>
      <c r="AE99" s="6">
        <v>0.13</v>
      </c>
    </row>
    <row r="100" spans="1:31">
      <c r="A100" s="3"/>
      <c r="C100" s="47" t="str">
        <f t="shared" si="38"/>
        <v/>
      </c>
      <c r="D100" s="15">
        <v>1100</v>
      </c>
      <c r="E100" s="47">
        <f t="shared" si="30"/>
        <v>498.95119999999997</v>
      </c>
      <c r="F100" s="15"/>
      <c r="G100" s="15"/>
      <c r="H100" s="1">
        <v>1</v>
      </c>
      <c r="I100" s="47">
        <f t="shared" si="31"/>
        <v>0.453592</v>
      </c>
      <c r="J100" s="32">
        <v>13.18</v>
      </c>
      <c r="K100" s="25">
        <v>8.3000000000000007</v>
      </c>
      <c r="L100" s="25">
        <v>2.1</v>
      </c>
      <c r="M100" s="25">
        <v>1.59</v>
      </c>
      <c r="N100" s="25">
        <v>4.9000000000000002E-2</v>
      </c>
      <c r="O100" s="33">
        <v>3.2000000000000001E-2</v>
      </c>
      <c r="P100" s="51">
        <f t="shared" si="39"/>
        <v>5.9783425599999998</v>
      </c>
      <c r="Q100" s="51">
        <f t="shared" si="40"/>
        <v>8.3000000000000007</v>
      </c>
      <c r="R100" s="51">
        <f t="shared" si="41"/>
        <v>0.95254320000000003</v>
      </c>
      <c r="S100" s="51">
        <f t="shared" si="42"/>
        <v>0.72121128000000001</v>
      </c>
      <c r="T100" s="51">
        <f t="shared" si="43"/>
        <v>2.2226008000000002E-2</v>
      </c>
      <c r="U100" s="51">
        <f t="shared" si="44"/>
        <v>1.4514944E-2</v>
      </c>
      <c r="V100" s="25">
        <v>24.9</v>
      </c>
      <c r="W100" s="47">
        <f t="shared" si="45"/>
        <v>11.294440799999999</v>
      </c>
      <c r="X100" s="44">
        <v>53</v>
      </c>
      <c r="Y100" s="54">
        <v>0.51</v>
      </c>
      <c r="Z100" s="47">
        <f t="shared" si="46"/>
        <v>0.23133192</v>
      </c>
      <c r="AA100" s="1">
        <v>0.25</v>
      </c>
      <c r="AB100" s="47">
        <f t="shared" si="47"/>
        <v>0.113398</v>
      </c>
      <c r="AC100" s="1">
        <v>6.4</v>
      </c>
      <c r="AD100" s="1">
        <v>0.2</v>
      </c>
      <c r="AE100" s="6">
        <v>0.13</v>
      </c>
    </row>
    <row r="101" spans="1:31">
      <c r="A101" s="3"/>
      <c r="C101" s="47" t="str">
        <f t="shared" si="38"/>
        <v/>
      </c>
      <c r="D101" s="1">
        <v>600</v>
      </c>
      <c r="E101" s="47">
        <f t="shared" si="30"/>
        <v>272.15519999999998</v>
      </c>
      <c r="H101" s="1">
        <v>1.5</v>
      </c>
      <c r="I101" s="47">
        <f t="shared" si="31"/>
        <v>0.68038799999999999</v>
      </c>
      <c r="J101" s="32">
        <v>9.18</v>
      </c>
      <c r="K101" s="25">
        <v>5.3</v>
      </c>
      <c r="L101" s="25">
        <v>2.1</v>
      </c>
      <c r="M101" s="25">
        <v>1.47</v>
      </c>
      <c r="N101" s="25">
        <v>5.2999999999999999E-2</v>
      </c>
      <c r="O101" s="33">
        <v>2.8000000000000001E-2</v>
      </c>
      <c r="P101" s="51">
        <f t="shared" si="39"/>
        <v>4.1639745599999998</v>
      </c>
      <c r="Q101" s="51">
        <f t="shared" si="40"/>
        <v>5.3</v>
      </c>
      <c r="R101" s="51">
        <f t="shared" si="41"/>
        <v>0.95254320000000003</v>
      </c>
      <c r="S101" s="51">
        <f t="shared" si="42"/>
        <v>0.66678024000000002</v>
      </c>
      <c r="T101" s="51">
        <f t="shared" si="43"/>
        <v>2.4040375999999999E-2</v>
      </c>
      <c r="U101" s="51">
        <f t="shared" si="44"/>
        <v>1.2700576E-2</v>
      </c>
      <c r="V101" s="25">
        <v>16.100000000000001</v>
      </c>
      <c r="W101" s="47">
        <f t="shared" si="45"/>
        <v>7.3028312000000009</v>
      </c>
      <c r="X101" s="44">
        <v>57.1</v>
      </c>
      <c r="Y101" s="54">
        <v>0.56999999999999995</v>
      </c>
      <c r="Z101" s="47">
        <f t="shared" si="46"/>
        <v>0.25854743999999996</v>
      </c>
      <c r="AA101" s="1">
        <v>0.31</v>
      </c>
      <c r="AB101" s="47">
        <f t="shared" si="47"/>
        <v>0.14061351999999999</v>
      </c>
      <c r="AC101" s="1">
        <v>9.1999999999999993</v>
      </c>
      <c r="AD101" s="1">
        <v>0.33</v>
      </c>
      <c r="AE101" s="6">
        <v>0.17</v>
      </c>
    </row>
    <row r="102" spans="1:31">
      <c r="A102" s="3"/>
      <c r="C102" s="47" t="str">
        <f t="shared" si="38"/>
        <v/>
      </c>
      <c r="D102" s="1">
        <v>700</v>
      </c>
      <c r="E102" s="47">
        <f t="shared" si="30"/>
        <v>317.51440000000002</v>
      </c>
      <c r="H102" s="1">
        <v>1.5</v>
      </c>
      <c r="I102" s="47">
        <f t="shared" si="31"/>
        <v>0.68038799999999999</v>
      </c>
      <c r="J102" s="32">
        <v>10.28</v>
      </c>
      <c r="K102" s="25">
        <v>5.9</v>
      </c>
      <c r="L102" s="25">
        <v>2.4</v>
      </c>
      <c r="M102" s="25">
        <v>1.53</v>
      </c>
      <c r="N102" s="25">
        <v>5.3999999999999999E-2</v>
      </c>
      <c r="O102" s="33">
        <v>2.9000000000000001E-2</v>
      </c>
      <c r="P102" s="51">
        <f t="shared" si="39"/>
        <v>4.6629257599999994</v>
      </c>
      <c r="Q102" s="51">
        <f t="shared" si="40"/>
        <v>5.9</v>
      </c>
      <c r="R102" s="51">
        <f t="shared" si="41"/>
        <v>1.0886207999999999</v>
      </c>
      <c r="S102" s="51">
        <f t="shared" si="42"/>
        <v>0.69399575999999996</v>
      </c>
      <c r="T102" s="51">
        <f t="shared" si="43"/>
        <v>2.4493967999999998E-2</v>
      </c>
      <c r="U102" s="51">
        <f t="shared" si="44"/>
        <v>1.3154168000000001E-2</v>
      </c>
      <c r="V102" s="25">
        <v>18</v>
      </c>
      <c r="W102" s="47">
        <f t="shared" si="45"/>
        <v>8.1646560000000008</v>
      </c>
      <c r="X102" s="44">
        <v>57</v>
      </c>
      <c r="Y102" s="54">
        <v>0.56999999999999995</v>
      </c>
      <c r="Z102" s="47">
        <f t="shared" si="46"/>
        <v>0.25854743999999996</v>
      </c>
      <c r="AA102" s="1">
        <v>0.31</v>
      </c>
      <c r="AB102" s="47">
        <f t="shared" si="47"/>
        <v>0.14061351999999999</v>
      </c>
      <c r="AC102" s="1">
        <v>8.5</v>
      </c>
      <c r="AD102" s="1">
        <v>0.3</v>
      </c>
      <c r="AE102" s="6">
        <v>0.16</v>
      </c>
    </row>
    <row r="103" spans="1:31">
      <c r="A103" s="3"/>
      <c r="C103" s="47" t="str">
        <f t="shared" si="38"/>
        <v/>
      </c>
      <c r="D103" s="1">
        <v>800</v>
      </c>
      <c r="E103" s="47">
        <f t="shared" si="30"/>
        <v>362.87360000000001</v>
      </c>
      <c r="H103" s="1">
        <v>1.5</v>
      </c>
      <c r="I103" s="47">
        <f t="shared" si="31"/>
        <v>0.68038799999999999</v>
      </c>
      <c r="J103" s="32">
        <v>11.35</v>
      </c>
      <c r="K103" s="25">
        <v>6.5</v>
      </c>
      <c r="L103" s="25">
        <v>2.6</v>
      </c>
      <c r="M103" s="25">
        <v>1.58</v>
      </c>
      <c r="N103" s="25">
        <v>5.3999999999999999E-2</v>
      </c>
      <c r="O103" s="33">
        <v>0.03</v>
      </c>
      <c r="P103" s="51">
        <f t="shared" si="39"/>
        <v>5.1482691999999997</v>
      </c>
      <c r="Q103" s="51">
        <f t="shared" si="40"/>
        <v>6.5</v>
      </c>
      <c r="R103" s="51">
        <f t="shared" si="41"/>
        <v>1.1793392</v>
      </c>
      <c r="S103" s="51">
        <f t="shared" si="42"/>
        <v>0.71667535999999998</v>
      </c>
      <c r="T103" s="51">
        <f t="shared" si="43"/>
        <v>2.4493967999999998E-2</v>
      </c>
      <c r="U103" s="51">
        <f t="shared" si="44"/>
        <v>1.360776E-2</v>
      </c>
      <c r="V103" s="25">
        <v>19.899999999999999</v>
      </c>
      <c r="W103" s="47">
        <f t="shared" si="45"/>
        <v>9.0264807999999999</v>
      </c>
      <c r="X103" s="44">
        <v>56.9</v>
      </c>
      <c r="Y103" s="54">
        <v>0.56999999999999995</v>
      </c>
      <c r="Z103" s="47">
        <f t="shared" si="46"/>
        <v>0.25854743999999996</v>
      </c>
      <c r="AA103" s="1">
        <v>0.31</v>
      </c>
      <c r="AB103" s="47">
        <f t="shared" si="47"/>
        <v>0.14061351999999999</v>
      </c>
      <c r="AC103" s="1">
        <v>7.9</v>
      </c>
      <c r="AD103" s="1">
        <v>0.27</v>
      </c>
      <c r="AE103" s="6">
        <v>0.15</v>
      </c>
    </row>
    <row r="104" spans="1:31">
      <c r="A104" s="3"/>
      <c r="C104" s="47" t="str">
        <f t="shared" si="38"/>
        <v/>
      </c>
      <c r="D104" s="1">
        <v>900</v>
      </c>
      <c r="E104" s="47">
        <f t="shared" si="30"/>
        <v>408.2328</v>
      </c>
      <c r="H104" s="1">
        <v>1.5</v>
      </c>
      <c r="I104" s="47">
        <f t="shared" si="31"/>
        <v>0.68038799999999999</v>
      </c>
      <c r="J104" s="32">
        <v>12.4</v>
      </c>
      <c r="K104" s="25">
        <v>7.1</v>
      </c>
      <c r="L104" s="25">
        <v>2.9</v>
      </c>
      <c r="M104" s="25">
        <v>1.63</v>
      </c>
      <c r="N104" s="25">
        <v>5.5E-2</v>
      </c>
      <c r="O104" s="33">
        <v>3.2000000000000001E-2</v>
      </c>
      <c r="P104" s="51">
        <f t="shared" si="39"/>
        <v>5.6245408000000001</v>
      </c>
      <c r="Q104" s="51">
        <f t="shared" si="40"/>
        <v>7.1</v>
      </c>
      <c r="R104" s="51">
        <f t="shared" si="41"/>
        <v>1.3154167999999999</v>
      </c>
      <c r="S104" s="51">
        <f t="shared" si="42"/>
        <v>0.73935495999999989</v>
      </c>
      <c r="T104" s="51">
        <f t="shared" si="43"/>
        <v>2.4947560000000001E-2</v>
      </c>
      <c r="U104" s="51">
        <f t="shared" si="44"/>
        <v>1.4514944E-2</v>
      </c>
      <c r="V104" s="25">
        <v>21.8</v>
      </c>
      <c r="W104" s="47">
        <f t="shared" si="45"/>
        <v>9.8883056000000007</v>
      </c>
      <c r="X104" s="44">
        <v>56.9</v>
      </c>
      <c r="Y104" s="54">
        <v>0.56999999999999995</v>
      </c>
      <c r="Z104" s="47">
        <f t="shared" si="46"/>
        <v>0.25854743999999996</v>
      </c>
      <c r="AA104" s="1">
        <v>0.31</v>
      </c>
      <c r="AB104" s="47">
        <f t="shared" si="47"/>
        <v>0.14061351999999999</v>
      </c>
      <c r="AC104" s="1">
        <v>7.5</v>
      </c>
      <c r="AD104" s="1">
        <v>0.25</v>
      </c>
      <c r="AE104" s="6">
        <v>0.15</v>
      </c>
    </row>
    <row r="105" spans="1:31">
      <c r="A105" s="3"/>
      <c r="C105" s="47" t="str">
        <f t="shared" si="38"/>
        <v/>
      </c>
      <c r="D105" s="15">
        <v>1000</v>
      </c>
      <c r="E105" s="47">
        <f t="shared" si="30"/>
        <v>453.59199999999998</v>
      </c>
      <c r="F105" s="15"/>
      <c r="G105" s="15"/>
      <c r="H105" s="1">
        <v>1.5</v>
      </c>
      <c r="I105" s="47">
        <f t="shared" si="31"/>
        <v>0.68038799999999999</v>
      </c>
      <c r="J105" s="32">
        <v>13.43</v>
      </c>
      <c r="K105" s="25">
        <v>7.7</v>
      </c>
      <c r="L105" s="25">
        <v>3.1</v>
      </c>
      <c r="M105" s="25">
        <v>1.68</v>
      </c>
      <c r="N105" s="25">
        <v>5.6000000000000001E-2</v>
      </c>
      <c r="O105" s="33">
        <v>3.3000000000000002E-2</v>
      </c>
      <c r="P105" s="51">
        <f t="shared" si="39"/>
        <v>6.0917405599999999</v>
      </c>
      <c r="Q105" s="51">
        <f t="shared" si="40"/>
        <v>7.7</v>
      </c>
      <c r="R105" s="51">
        <f t="shared" si="41"/>
        <v>1.4061352</v>
      </c>
      <c r="S105" s="51">
        <f t="shared" si="42"/>
        <v>0.76203455999999992</v>
      </c>
      <c r="T105" s="51">
        <f t="shared" si="43"/>
        <v>2.5401152E-2</v>
      </c>
      <c r="U105" s="51">
        <f t="shared" si="44"/>
        <v>1.4968536000000001E-2</v>
      </c>
      <c r="V105" s="25">
        <v>23.6</v>
      </c>
      <c r="W105" s="47">
        <f t="shared" si="45"/>
        <v>10.7047712</v>
      </c>
      <c r="X105" s="44">
        <v>56.9</v>
      </c>
      <c r="Y105" s="54">
        <v>0.56999999999999995</v>
      </c>
      <c r="Z105" s="47">
        <f t="shared" si="46"/>
        <v>0.25854743999999996</v>
      </c>
      <c r="AA105" s="1">
        <v>0.31</v>
      </c>
      <c r="AB105" s="47">
        <f t="shared" si="47"/>
        <v>0.14061351999999999</v>
      </c>
      <c r="AC105" s="1">
        <v>7.1</v>
      </c>
      <c r="AD105" s="1">
        <v>0.24</v>
      </c>
      <c r="AE105" s="6">
        <v>0.14000000000000001</v>
      </c>
    </row>
    <row r="106" spans="1:31">
      <c r="A106" s="3"/>
      <c r="C106" s="47" t="str">
        <f t="shared" si="38"/>
        <v/>
      </c>
      <c r="D106" s="15">
        <v>1100</v>
      </c>
      <c r="E106" s="47">
        <f t="shared" si="30"/>
        <v>498.95119999999997</v>
      </c>
      <c r="F106" s="15"/>
      <c r="G106" s="15"/>
      <c r="H106" s="1">
        <v>1.5</v>
      </c>
      <c r="I106" s="47">
        <f t="shared" si="31"/>
        <v>0.68038799999999999</v>
      </c>
      <c r="J106" s="32">
        <v>14.45</v>
      </c>
      <c r="K106" s="25">
        <v>8.3000000000000007</v>
      </c>
      <c r="L106" s="25">
        <v>3.4</v>
      </c>
      <c r="M106" s="25">
        <v>1.73</v>
      </c>
      <c r="N106" s="25">
        <v>5.7000000000000002E-2</v>
      </c>
      <c r="O106" s="33">
        <v>3.5000000000000003E-2</v>
      </c>
      <c r="P106" s="51">
        <f t="shared" si="39"/>
        <v>6.5544043999999992</v>
      </c>
      <c r="Q106" s="51">
        <f t="shared" si="40"/>
        <v>8.3000000000000007</v>
      </c>
      <c r="R106" s="51">
        <f t="shared" si="41"/>
        <v>1.5422127999999999</v>
      </c>
      <c r="S106" s="51">
        <f t="shared" si="42"/>
        <v>0.78471415999999994</v>
      </c>
      <c r="T106" s="51">
        <f t="shared" si="43"/>
        <v>2.5854743999999999E-2</v>
      </c>
      <c r="U106" s="51">
        <f t="shared" si="44"/>
        <v>1.5875720000000003E-2</v>
      </c>
      <c r="V106" s="25">
        <v>25.3</v>
      </c>
      <c r="W106" s="47">
        <f t="shared" si="45"/>
        <v>11.4758776</v>
      </c>
      <c r="X106" s="44">
        <v>57</v>
      </c>
      <c r="Y106" s="54">
        <v>0.56999999999999995</v>
      </c>
      <c r="Z106" s="47">
        <f t="shared" si="46"/>
        <v>0.25854743999999996</v>
      </c>
      <c r="AA106" s="1">
        <v>0.31</v>
      </c>
      <c r="AB106" s="47">
        <f t="shared" si="47"/>
        <v>0.14061351999999999</v>
      </c>
      <c r="AC106" s="1">
        <v>6.8</v>
      </c>
      <c r="AD106" s="1">
        <v>0.22</v>
      </c>
      <c r="AE106" s="6">
        <v>0.14000000000000001</v>
      </c>
    </row>
    <row r="107" spans="1:31">
      <c r="A107" s="3"/>
      <c r="C107" s="47" t="str">
        <f t="shared" si="38"/>
        <v/>
      </c>
      <c r="D107" s="1">
        <v>600</v>
      </c>
      <c r="E107" s="47">
        <f t="shared" si="30"/>
        <v>272.15519999999998</v>
      </c>
      <c r="H107" s="1">
        <v>2</v>
      </c>
      <c r="I107" s="47">
        <f t="shared" si="31"/>
        <v>0.90718399999999999</v>
      </c>
      <c r="J107" s="32">
        <v>9.91</v>
      </c>
      <c r="K107" s="25">
        <v>5.3</v>
      </c>
      <c r="L107" s="25">
        <v>2.9</v>
      </c>
      <c r="M107" s="25">
        <v>1.68</v>
      </c>
      <c r="N107" s="25">
        <v>6.4000000000000001E-2</v>
      </c>
      <c r="O107" s="33">
        <v>3.2000000000000001E-2</v>
      </c>
      <c r="P107" s="51">
        <f t="shared" si="39"/>
        <v>4.4950967200000003</v>
      </c>
      <c r="Q107" s="51">
        <f t="shared" si="40"/>
        <v>5.3</v>
      </c>
      <c r="R107" s="51">
        <f t="shared" si="41"/>
        <v>1.3154167999999999</v>
      </c>
      <c r="S107" s="51">
        <f t="shared" si="42"/>
        <v>0.76203455999999992</v>
      </c>
      <c r="T107" s="51">
        <f t="shared" si="43"/>
        <v>2.9029888E-2</v>
      </c>
      <c r="U107" s="51">
        <f t="shared" si="44"/>
        <v>1.4514944E-2</v>
      </c>
      <c r="V107" s="25">
        <v>16.100000000000001</v>
      </c>
      <c r="W107" s="47">
        <f t="shared" si="45"/>
        <v>7.3028312000000009</v>
      </c>
      <c r="X107" s="44">
        <v>61.4</v>
      </c>
      <c r="Y107" s="54">
        <v>0.64</v>
      </c>
      <c r="Z107" s="47">
        <f t="shared" si="46"/>
        <v>0.29029887999999998</v>
      </c>
      <c r="AA107" s="1">
        <v>0.37</v>
      </c>
      <c r="AB107" s="47">
        <f t="shared" si="47"/>
        <v>0.16782903999999998</v>
      </c>
      <c r="AC107" s="1">
        <v>10.4</v>
      </c>
      <c r="AD107" s="1">
        <v>0.4</v>
      </c>
      <c r="AE107" s="6">
        <v>0.2</v>
      </c>
    </row>
    <row r="108" spans="1:31">
      <c r="A108" s="3"/>
      <c r="C108" s="47" t="str">
        <f t="shared" si="38"/>
        <v/>
      </c>
      <c r="D108" s="1">
        <v>700</v>
      </c>
      <c r="E108" s="47">
        <f t="shared" si="30"/>
        <v>317.51440000000002</v>
      </c>
      <c r="H108" s="1">
        <v>2</v>
      </c>
      <c r="I108" s="47">
        <f t="shared" si="31"/>
        <v>0.90718399999999999</v>
      </c>
      <c r="J108" s="32">
        <v>11.1</v>
      </c>
      <c r="K108" s="25">
        <v>5.9</v>
      </c>
      <c r="L108" s="25">
        <v>3.3</v>
      </c>
      <c r="M108" s="25">
        <v>1.72</v>
      </c>
      <c r="N108" s="25">
        <v>6.4000000000000001E-2</v>
      </c>
      <c r="O108" s="33">
        <v>3.3000000000000002E-2</v>
      </c>
      <c r="P108" s="51">
        <f t="shared" si="39"/>
        <v>5.0348711999999995</v>
      </c>
      <c r="Q108" s="51">
        <f t="shared" si="40"/>
        <v>5.9</v>
      </c>
      <c r="R108" s="51">
        <f t="shared" si="41"/>
        <v>1.4968535999999999</v>
      </c>
      <c r="S108" s="51">
        <f t="shared" si="42"/>
        <v>0.78017824000000002</v>
      </c>
      <c r="T108" s="51">
        <f t="shared" si="43"/>
        <v>2.9029888E-2</v>
      </c>
      <c r="U108" s="51">
        <f t="shared" si="44"/>
        <v>1.4968536000000001E-2</v>
      </c>
      <c r="V108" s="25">
        <v>18.100000000000001</v>
      </c>
      <c r="W108" s="47">
        <f t="shared" si="45"/>
        <v>8.2100152000000008</v>
      </c>
      <c r="X108" s="44">
        <v>61.3</v>
      </c>
      <c r="Y108" s="54">
        <v>0.64</v>
      </c>
      <c r="Z108" s="47">
        <f t="shared" si="46"/>
        <v>0.29029887999999998</v>
      </c>
      <c r="AA108" s="1">
        <v>0.37</v>
      </c>
      <c r="AB108" s="47">
        <f t="shared" si="47"/>
        <v>0.16782903999999998</v>
      </c>
      <c r="AC108" s="1">
        <v>9.5</v>
      </c>
      <c r="AD108" s="1">
        <v>0.35</v>
      </c>
      <c r="AE108" s="6">
        <v>0.18</v>
      </c>
    </row>
    <row r="109" spans="1:31">
      <c r="A109" s="3"/>
      <c r="C109" s="47" t="str">
        <f t="shared" si="38"/>
        <v/>
      </c>
      <c r="D109" s="1">
        <v>800</v>
      </c>
      <c r="E109" s="47">
        <f t="shared" si="30"/>
        <v>362.87360000000001</v>
      </c>
      <c r="H109" s="1">
        <v>2</v>
      </c>
      <c r="I109" s="47">
        <f t="shared" si="31"/>
        <v>0.90718399999999999</v>
      </c>
      <c r="J109" s="32">
        <v>12.25</v>
      </c>
      <c r="K109" s="25">
        <v>6.5</v>
      </c>
      <c r="L109" s="25">
        <v>3.6</v>
      </c>
      <c r="M109" s="25">
        <v>1.75</v>
      </c>
      <c r="N109" s="25">
        <v>6.3E-2</v>
      </c>
      <c r="O109" s="33">
        <v>3.4000000000000002E-2</v>
      </c>
      <c r="P109" s="51">
        <f t="shared" si="39"/>
        <v>5.5565020000000001</v>
      </c>
      <c r="Q109" s="51">
        <f t="shared" si="40"/>
        <v>6.5</v>
      </c>
      <c r="R109" s="51">
        <f t="shared" si="41"/>
        <v>1.6329312</v>
      </c>
      <c r="S109" s="51">
        <f t="shared" si="42"/>
        <v>0.79378599999999999</v>
      </c>
      <c r="T109" s="51">
        <f t="shared" si="43"/>
        <v>2.8576296000000001E-2</v>
      </c>
      <c r="U109" s="51">
        <f t="shared" si="44"/>
        <v>1.5422128E-2</v>
      </c>
      <c r="V109" s="25">
        <v>20</v>
      </c>
      <c r="W109" s="47">
        <f t="shared" si="45"/>
        <v>9.0718399999999999</v>
      </c>
      <c r="X109" s="44">
        <v>61.2</v>
      </c>
      <c r="Y109" s="54">
        <v>0.63</v>
      </c>
      <c r="Z109" s="47">
        <f t="shared" si="46"/>
        <v>0.28576296000000001</v>
      </c>
      <c r="AA109" s="1">
        <v>0.37</v>
      </c>
      <c r="AB109" s="47">
        <f t="shared" si="47"/>
        <v>0.16782903999999998</v>
      </c>
      <c r="AC109" s="1">
        <v>8.8000000000000007</v>
      </c>
      <c r="AD109" s="1">
        <v>0.32</v>
      </c>
      <c r="AE109" s="6">
        <v>0.17</v>
      </c>
    </row>
    <row r="110" spans="1:31">
      <c r="A110" s="3"/>
      <c r="C110" s="47" t="str">
        <f t="shared" si="38"/>
        <v/>
      </c>
      <c r="D110" s="1">
        <v>900</v>
      </c>
      <c r="E110" s="47">
        <f t="shared" si="30"/>
        <v>408.2328</v>
      </c>
      <c r="H110" s="1">
        <v>2</v>
      </c>
      <c r="I110" s="47">
        <f t="shared" si="31"/>
        <v>0.90718399999999999</v>
      </c>
      <c r="J110" s="32">
        <v>13.39</v>
      </c>
      <c r="K110" s="25">
        <v>7.1</v>
      </c>
      <c r="L110" s="25">
        <v>4</v>
      </c>
      <c r="M110" s="25">
        <v>1.79</v>
      </c>
      <c r="N110" s="25">
        <v>6.3E-2</v>
      </c>
      <c r="O110" s="33">
        <v>3.5000000000000003E-2</v>
      </c>
      <c r="P110" s="51">
        <f t="shared" si="39"/>
        <v>6.0735968800000002</v>
      </c>
      <c r="Q110" s="51">
        <f t="shared" si="40"/>
        <v>7.1</v>
      </c>
      <c r="R110" s="51">
        <f t="shared" si="41"/>
        <v>1.814368</v>
      </c>
      <c r="S110" s="51">
        <f t="shared" si="42"/>
        <v>0.81192967999999999</v>
      </c>
      <c r="T110" s="51">
        <f t="shared" si="43"/>
        <v>2.8576296000000001E-2</v>
      </c>
      <c r="U110" s="51">
        <f t="shared" si="44"/>
        <v>1.5875720000000003E-2</v>
      </c>
      <c r="V110" s="25">
        <v>21.9</v>
      </c>
      <c r="W110" s="47">
        <f t="shared" si="45"/>
        <v>9.933664799999999</v>
      </c>
      <c r="X110" s="44">
        <v>61.2</v>
      </c>
      <c r="Y110" s="54">
        <v>0.63</v>
      </c>
      <c r="Z110" s="47">
        <f t="shared" si="46"/>
        <v>0.28576296000000001</v>
      </c>
      <c r="AA110" s="1">
        <v>0.37</v>
      </c>
      <c r="AB110" s="47">
        <f t="shared" si="47"/>
        <v>0.16782903999999998</v>
      </c>
      <c r="AC110" s="1">
        <v>8.1999999999999993</v>
      </c>
      <c r="AD110" s="1">
        <v>0.28999999999999998</v>
      </c>
      <c r="AE110" s="6">
        <v>0.16</v>
      </c>
    </row>
    <row r="111" spans="1:31">
      <c r="A111" s="3"/>
      <c r="C111" s="47" t="str">
        <f t="shared" si="38"/>
        <v/>
      </c>
      <c r="D111" s="15">
        <v>1000</v>
      </c>
      <c r="E111" s="47">
        <f t="shared" si="30"/>
        <v>453.59199999999998</v>
      </c>
      <c r="F111" s="15"/>
      <c r="G111" s="15"/>
      <c r="H111" s="1">
        <v>2</v>
      </c>
      <c r="I111" s="47">
        <f t="shared" si="31"/>
        <v>0.90718399999999999</v>
      </c>
      <c r="J111" s="32">
        <v>14.5</v>
      </c>
      <c r="K111" s="25">
        <v>7.7</v>
      </c>
      <c r="L111" s="25">
        <v>4.3</v>
      </c>
      <c r="M111" s="25">
        <v>1.82</v>
      </c>
      <c r="N111" s="25">
        <v>6.3E-2</v>
      </c>
      <c r="O111" s="33">
        <v>3.5999999999999997E-2</v>
      </c>
      <c r="P111" s="51">
        <f t="shared" si="39"/>
        <v>6.5770840000000002</v>
      </c>
      <c r="Q111" s="51">
        <f t="shared" si="40"/>
        <v>7.7</v>
      </c>
      <c r="R111" s="51">
        <f t="shared" si="41"/>
        <v>1.9504455999999999</v>
      </c>
      <c r="S111" s="51">
        <f t="shared" si="42"/>
        <v>0.82553744000000007</v>
      </c>
      <c r="T111" s="51">
        <f t="shared" si="43"/>
        <v>2.8576296000000001E-2</v>
      </c>
      <c r="U111" s="51">
        <f t="shared" si="44"/>
        <v>1.6329311999999999E-2</v>
      </c>
      <c r="V111" s="25">
        <v>23.7</v>
      </c>
      <c r="W111" s="47">
        <f t="shared" si="45"/>
        <v>10.7501304</v>
      </c>
      <c r="X111" s="44">
        <v>61.2</v>
      </c>
      <c r="Y111" s="54">
        <v>0.63</v>
      </c>
      <c r="Z111" s="47">
        <f t="shared" si="46"/>
        <v>0.28576296000000001</v>
      </c>
      <c r="AA111" s="1">
        <v>0.37</v>
      </c>
      <c r="AB111" s="47">
        <f t="shared" si="47"/>
        <v>0.16782903999999998</v>
      </c>
      <c r="AC111" s="1">
        <v>7.7</v>
      </c>
      <c r="AD111" s="1">
        <v>0.27</v>
      </c>
      <c r="AE111" s="6">
        <v>0.15</v>
      </c>
    </row>
    <row r="112" spans="1:31">
      <c r="A112" s="3"/>
      <c r="C112" s="47" t="str">
        <f t="shared" si="38"/>
        <v/>
      </c>
      <c r="D112" s="15">
        <v>1100</v>
      </c>
      <c r="E112" s="47">
        <f t="shared" si="30"/>
        <v>498.95119999999997</v>
      </c>
      <c r="F112" s="15"/>
      <c r="G112" s="15"/>
      <c r="H112" s="1">
        <v>2</v>
      </c>
      <c r="I112" s="47">
        <f t="shared" si="31"/>
        <v>0.90718399999999999</v>
      </c>
      <c r="J112" s="32">
        <v>15.59</v>
      </c>
      <c r="K112" s="25">
        <v>8.3000000000000007</v>
      </c>
      <c r="L112" s="25">
        <v>4.5999999999999996</v>
      </c>
      <c r="M112" s="25">
        <v>1.86</v>
      </c>
      <c r="N112" s="25">
        <v>6.3E-2</v>
      </c>
      <c r="O112" s="33">
        <v>3.6999999999999998E-2</v>
      </c>
      <c r="P112" s="51">
        <f t="shared" si="39"/>
        <v>7.0714992800000003</v>
      </c>
      <c r="Q112" s="51">
        <f t="shared" si="40"/>
        <v>8.3000000000000007</v>
      </c>
      <c r="R112" s="51">
        <f t="shared" si="41"/>
        <v>2.0865231999999998</v>
      </c>
      <c r="S112" s="51">
        <f t="shared" si="42"/>
        <v>0.84368112000000006</v>
      </c>
      <c r="T112" s="51">
        <f t="shared" si="43"/>
        <v>2.8576296000000001E-2</v>
      </c>
      <c r="U112" s="51">
        <f t="shared" si="44"/>
        <v>1.6782903999999998E-2</v>
      </c>
      <c r="V112" s="25">
        <v>25.4</v>
      </c>
      <c r="W112" s="47">
        <f t="shared" si="45"/>
        <v>11.521236799999999</v>
      </c>
      <c r="X112" s="44">
        <v>61.3</v>
      </c>
      <c r="Y112" s="54">
        <v>0.64</v>
      </c>
      <c r="Z112" s="47">
        <f t="shared" si="46"/>
        <v>0.29029887999999998</v>
      </c>
      <c r="AA112" s="1">
        <v>0.37</v>
      </c>
      <c r="AB112" s="47">
        <f t="shared" si="47"/>
        <v>0.16782903999999998</v>
      </c>
      <c r="AC112" s="1">
        <v>7.3</v>
      </c>
      <c r="AD112" s="1">
        <v>0.25</v>
      </c>
      <c r="AE112" s="6">
        <v>0.15</v>
      </c>
    </row>
    <row r="113" spans="1:31">
      <c r="A113" s="3"/>
      <c r="C113" s="47" t="str">
        <f t="shared" si="38"/>
        <v/>
      </c>
      <c r="D113" s="1">
        <v>600</v>
      </c>
      <c r="E113" s="47">
        <f t="shared" si="30"/>
        <v>272.15519999999998</v>
      </c>
      <c r="H113" s="1">
        <v>2.5</v>
      </c>
      <c r="I113" s="47">
        <f t="shared" si="31"/>
        <v>1.13398</v>
      </c>
      <c r="J113" s="32">
        <v>10.58</v>
      </c>
      <c r="K113" s="25">
        <v>5.3</v>
      </c>
      <c r="L113" s="25">
        <v>3.7</v>
      </c>
      <c r="M113" s="25">
        <v>1.88</v>
      </c>
      <c r="N113" s="25">
        <v>7.4999999999999997E-2</v>
      </c>
      <c r="O113" s="33">
        <v>3.6999999999999998E-2</v>
      </c>
      <c r="P113" s="51">
        <f t="shared" si="39"/>
        <v>4.7990033600000004</v>
      </c>
      <c r="Q113" s="51">
        <f t="shared" si="40"/>
        <v>5.3</v>
      </c>
      <c r="R113" s="51">
        <f t="shared" si="41"/>
        <v>1.6782904000000001</v>
      </c>
      <c r="S113" s="51">
        <f t="shared" si="42"/>
        <v>0.85275295999999989</v>
      </c>
      <c r="T113" s="51">
        <f t="shared" si="43"/>
        <v>3.4019399999999998E-2</v>
      </c>
      <c r="U113" s="51">
        <f t="shared" si="44"/>
        <v>1.6782903999999998E-2</v>
      </c>
      <c r="V113" s="25">
        <v>16</v>
      </c>
      <c r="W113" s="47">
        <f t="shared" si="45"/>
        <v>7.2574719999999999</v>
      </c>
      <c r="X113" s="44">
        <v>66.2</v>
      </c>
      <c r="Y113" s="54">
        <v>0.71</v>
      </c>
      <c r="Z113" s="47">
        <f t="shared" si="46"/>
        <v>0.32205032</v>
      </c>
      <c r="AA113" s="1">
        <v>0.44</v>
      </c>
      <c r="AB113" s="47">
        <f t="shared" si="47"/>
        <v>0.19958048</v>
      </c>
      <c r="AC113" s="1">
        <v>11.8</v>
      </c>
      <c r="AD113" s="1">
        <v>0.47</v>
      </c>
      <c r="AE113" s="6">
        <v>0.23</v>
      </c>
    </row>
    <row r="114" spans="1:31">
      <c r="A114" s="3"/>
      <c r="C114" s="47" t="str">
        <f t="shared" si="38"/>
        <v/>
      </c>
      <c r="D114" s="1">
        <v>700</v>
      </c>
      <c r="E114" s="47">
        <f t="shared" si="30"/>
        <v>317.51440000000002</v>
      </c>
      <c r="H114" s="1">
        <v>2.5</v>
      </c>
      <c r="I114" s="47">
        <f t="shared" si="31"/>
        <v>1.13398</v>
      </c>
      <c r="J114" s="32">
        <v>11.86</v>
      </c>
      <c r="K114" s="25">
        <v>5.9</v>
      </c>
      <c r="L114" s="25">
        <v>4.2</v>
      </c>
      <c r="M114" s="25">
        <v>1.9</v>
      </c>
      <c r="N114" s="25">
        <v>7.3999999999999996E-2</v>
      </c>
      <c r="O114" s="33">
        <v>3.6999999999999998E-2</v>
      </c>
      <c r="P114" s="51">
        <f t="shared" si="39"/>
        <v>5.3796011199999993</v>
      </c>
      <c r="Q114" s="51">
        <f t="shared" si="40"/>
        <v>5.9</v>
      </c>
      <c r="R114" s="51">
        <f t="shared" si="41"/>
        <v>1.9050864000000001</v>
      </c>
      <c r="S114" s="51">
        <f t="shared" si="42"/>
        <v>0.86182479999999995</v>
      </c>
      <c r="T114" s="51">
        <f t="shared" si="43"/>
        <v>3.3565807999999996E-2</v>
      </c>
      <c r="U114" s="51">
        <f t="shared" si="44"/>
        <v>1.6782903999999998E-2</v>
      </c>
      <c r="V114" s="25">
        <v>18</v>
      </c>
      <c r="W114" s="47">
        <f t="shared" si="45"/>
        <v>8.1646560000000008</v>
      </c>
      <c r="X114" s="44">
        <v>66</v>
      </c>
      <c r="Y114" s="54">
        <v>0.71</v>
      </c>
      <c r="Z114" s="47">
        <f t="shared" si="46"/>
        <v>0.32205032</v>
      </c>
      <c r="AA114" s="1">
        <v>0.44</v>
      </c>
      <c r="AB114" s="47">
        <f t="shared" si="47"/>
        <v>0.19958048</v>
      </c>
      <c r="AC114" s="1">
        <v>10.6</v>
      </c>
      <c r="AD114" s="1">
        <v>0.41</v>
      </c>
      <c r="AE114" s="6">
        <v>0.21</v>
      </c>
    </row>
    <row r="115" spans="1:31">
      <c r="A115" s="3"/>
      <c r="C115" s="47" t="str">
        <f t="shared" si="38"/>
        <v/>
      </c>
      <c r="D115" s="1">
        <v>800</v>
      </c>
      <c r="E115" s="47">
        <f t="shared" si="30"/>
        <v>362.87360000000001</v>
      </c>
      <c r="H115" s="1">
        <v>2.5</v>
      </c>
      <c r="I115" s="47">
        <f t="shared" si="31"/>
        <v>1.13398</v>
      </c>
      <c r="J115" s="32">
        <v>13.09</v>
      </c>
      <c r="K115" s="25">
        <v>6.5</v>
      </c>
      <c r="L115" s="25">
        <v>4.5999999999999996</v>
      </c>
      <c r="M115" s="25">
        <v>1.92</v>
      </c>
      <c r="N115" s="25">
        <v>7.2999999999999995E-2</v>
      </c>
      <c r="O115" s="33">
        <v>3.7999999999999999E-2</v>
      </c>
      <c r="P115" s="51">
        <f t="shared" si="39"/>
        <v>5.9375192800000001</v>
      </c>
      <c r="Q115" s="51">
        <f t="shared" si="40"/>
        <v>6.5</v>
      </c>
      <c r="R115" s="51">
        <f t="shared" si="41"/>
        <v>2.0865231999999998</v>
      </c>
      <c r="S115" s="51">
        <f t="shared" si="42"/>
        <v>0.87089664</v>
      </c>
      <c r="T115" s="51">
        <f t="shared" si="43"/>
        <v>3.3112216E-2</v>
      </c>
      <c r="U115" s="51">
        <f t="shared" si="44"/>
        <v>1.7236496E-2</v>
      </c>
      <c r="V115" s="25">
        <v>19.8</v>
      </c>
      <c r="W115" s="47">
        <f t="shared" si="45"/>
        <v>8.9811215999999998</v>
      </c>
      <c r="X115" s="44">
        <v>66</v>
      </c>
      <c r="Y115" s="54">
        <v>0.71</v>
      </c>
      <c r="Z115" s="47">
        <f t="shared" si="46"/>
        <v>0.32205032</v>
      </c>
      <c r="AA115" s="1">
        <v>0.43</v>
      </c>
      <c r="AB115" s="47">
        <f t="shared" si="47"/>
        <v>0.19504456000000001</v>
      </c>
      <c r="AC115" s="1">
        <v>9.6999999999999993</v>
      </c>
      <c r="AD115" s="1">
        <v>0.37</v>
      </c>
      <c r="AE115" s="6">
        <v>0.19</v>
      </c>
    </row>
    <row r="116" spans="1:31">
      <c r="A116" s="3"/>
      <c r="C116" s="47" t="str">
        <f t="shared" si="38"/>
        <v/>
      </c>
      <c r="D116" s="1">
        <v>900</v>
      </c>
      <c r="E116" s="47">
        <f t="shared" si="30"/>
        <v>408.2328</v>
      </c>
      <c r="H116" s="1">
        <v>2.5</v>
      </c>
      <c r="I116" s="47">
        <f t="shared" si="31"/>
        <v>1.13398</v>
      </c>
      <c r="J116" s="32">
        <v>14.3</v>
      </c>
      <c r="K116" s="25">
        <v>7.1</v>
      </c>
      <c r="L116" s="25">
        <v>5</v>
      </c>
      <c r="M116" s="25">
        <v>1.94</v>
      </c>
      <c r="N116" s="25">
        <v>7.1999999999999995E-2</v>
      </c>
      <c r="O116" s="33">
        <v>3.7999999999999999E-2</v>
      </c>
      <c r="P116" s="51">
        <f t="shared" si="39"/>
        <v>6.4863656000000001</v>
      </c>
      <c r="Q116" s="51">
        <f t="shared" si="40"/>
        <v>7.1</v>
      </c>
      <c r="R116" s="51">
        <f t="shared" si="41"/>
        <v>2.26796</v>
      </c>
      <c r="S116" s="51">
        <f t="shared" si="42"/>
        <v>0.87996847999999994</v>
      </c>
      <c r="T116" s="51">
        <f t="shared" si="43"/>
        <v>3.2658623999999997E-2</v>
      </c>
      <c r="U116" s="51">
        <f t="shared" si="44"/>
        <v>1.7236496E-2</v>
      </c>
      <c r="V116" s="25">
        <v>21.7</v>
      </c>
      <c r="W116" s="47">
        <f t="shared" si="45"/>
        <v>9.8429463999999989</v>
      </c>
      <c r="X116" s="44">
        <v>65.900000000000006</v>
      </c>
      <c r="Y116" s="54">
        <v>0.71</v>
      </c>
      <c r="Z116" s="47">
        <f t="shared" si="46"/>
        <v>0.32205032</v>
      </c>
      <c r="AA116" s="1">
        <v>0.43</v>
      </c>
      <c r="AB116" s="47">
        <f t="shared" si="47"/>
        <v>0.19504456000000001</v>
      </c>
      <c r="AC116" s="1">
        <v>9</v>
      </c>
      <c r="AD116" s="1">
        <v>0.33</v>
      </c>
      <c r="AE116" s="6">
        <v>0.18</v>
      </c>
    </row>
    <row r="117" spans="1:31">
      <c r="A117" s="3"/>
      <c r="C117" s="47" t="str">
        <f t="shared" si="38"/>
        <v/>
      </c>
      <c r="D117" s="15">
        <v>1000</v>
      </c>
      <c r="E117" s="47">
        <f t="shared" si="30"/>
        <v>453.59199999999998</v>
      </c>
      <c r="F117" s="15"/>
      <c r="G117" s="15"/>
      <c r="H117" s="1">
        <v>2.5</v>
      </c>
      <c r="I117" s="47">
        <f t="shared" si="31"/>
        <v>1.13398</v>
      </c>
      <c r="J117" s="32">
        <v>15.49</v>
      </c>
      <c r="K117" s="25">
        <v>7.7</v>
      </c>
      <c r="L117" s="25">
        <v>5.5</v>
      </c>
      <c r="M117" s="25">
        <v>1.96</v>
      </c>
      <c r="N117" s="25">
        <v>7.0999999999999994E-2</v>
      </c>
      <c r="O117" s="33">
        <v>3.9E-2</v>
      </c>
      <c r="P117" s="51">
        <f t="shared" si="39"/>
        <v>7.0261400800000002</v>
      </c>
      <c r="Q117" s="51">
        <f t="shared" si="40"/>
        <v>7.7</v>
      </c>
      <c r="R117" s="51">
        <f t="shared" si="41"/>
        <v>2.4947559999999998</v>
      </c>
      <c r="S117" s="51">
        <f t="shared" si="42"/>
        <v>0.88904032</v>
      </c>
      <c r="T117" s="51">
        <f t="shared" si="43"/>
        <v>3.2205031999999995E-2</v>
      </c>
      <c r="U117" s="51">
        <f t="shared" si="44"/>
        <v>1.7690088E-2</v>
      </c>
      <c r="V117" s="25">
        <v>23.5</v>
      </c>
      <c r="W117" s="47">
        <f t="shared" si="45"/>
        <v>10.659412</v>
      </c>
      <c r="X117" s="44">
        <v>66</v>
      </c>
      <c r="Y117" s="54">
        <v>0.71</v>
      </c>
      <c r="Z117" s="47">
        <f t="shared" si="46"/>
        <v>0.32205032</v>
      </c>
      <c r="AA117" s="1">
        <v>0.43</v>
      </c>
      <c r="AB117" s="47">
        <f t="shared" si="47"/>
        <v>0.19504456000000001</v>
      </c>
      <c r="AC117" s="1">
        <v>8.4</v>
      </c>
      <c r="AD117" s="1">
        <v>0.3</v>
      </c>
      <c r="AE117" s="6">
        <v>0.17</v>
      </c>
    </row>
    <row r="118" spans="1:31">
      <c r="A118" s="3"/>
      <c r="C118" s="47" t="str">
        <f t="shared" si="38"/>
        <v/>
      </c>
      <c r="D118" s="15">
        <v>1100</v>
      </c>
      <c r="E118" s="47">
        <f t="shared" si="30"/>
        <v>498.95119999999997</v>
      </c>
      <c r="F118" s="15"/>
      <c r="G118" s="15"/>
      <c r="H118" s="1">
        <v>2.5</v>
      </c>
      <c r="I118" s="47">
        <f t="shared" si="31"/>
        <v>1.13398</v>
      </c>
      <c r="J118" s="32">
        <v>16.64</v>
      </c>
      <c r="K118" s="25">
        <v>8.3000000000000007</v>
      </c>
      <c r="L118" s="25">
        <v>5.9</v>
      </c>
      <c r="M118" s="25">
        <v>1.98</v>
      </c>
      <c r="N118" s="25">
        <v>7.0000000000000007E-2</v>
      </c>
      <c r="O118" s="33">
        <v>0.04</v>
      </c>
      <c r="P118" s="51">
        <f t="shared" si="39"/>
        <v>7.5477708799999998</v>
      </c>
      <c r="Q118" s="51">
        <f t="shared" si="40"/>
        <v>8.3000000000000007</v>
      </c>
      <c r="R118" s="51">
        <f t="shared" si="41"/>
        <v>2.6761927999999999</v>
      </c>
      <c r="S118" s="51">
        <f t="shared" si="42"/>
        <v>0.89811215999999994</v>
      </c>
      <c r="T118" s="51">
        <f t="shared" si="43"/>
        <v>3.1751440000000006E-2</v>
      </c>
      <c r="U118" s="51">
        <f t="shared" si="44"/>
        <v>1.8143679999999999E-2</v>
      </c>
      <c r="V118" s="25">
        <v>25.2</v>
      </c>
      <c r="W118" s="47">
        <f t="shared" si="45"/>
        <v>11.4305184</v>
      </c>
      <c r="X118" s="44">
        <v>66</v>
      </c>
      <c r="Y118" s="54">
        <v>0.71</v>
      </c>
      <c r="Z118" s="47">
        <f t="shared" si="46"/>
        <v>0.32205032</v>
      </c>
      <c r="AA118" s="1">
        <v>0.44</v>
      </c>
      <c r="AB118" s="47">
        <f t="shared" si="47"/>
        <v>0.19958048</v>
      </c>
      <c r="AC118" s="1">
        <v>7.9</v>
      </c>
      <c r="AD118" s="1">
        <v>0.28000000000000003</v>
      </c>
      <c r="AE118" s="6">
        <v>0.16</v>
      </c>
    </row>
    <row r="119" spans="1:31">
      <c r="A119" s="3"/>
      <c r="C119" s="47" t="str">
        <f t="shared" si="38"/>
        <v/>
      </c>
      <c r="D119" s="1">
        <v>600</v>
      </c>
      <c r="E119" s="47">
        <f t="shared" ref="E119:E182" si="48">IF(D119&gt;0,(D119*$B$1),"")</f>
        <v>272.15519999999998</v>
      </c>
      <c r="H119" s="1">
        <v>3</v>
      </c>
      <c r="I119" s="47">
        <f t="shared" ref="I119:I182" si="49">IF(H119&gt;0,(H119*$B$1),"")</f>
        <v>1.360776</v>
      </c>
      <c r="J119" s="32">
        <v>11.21</v>
      </c>
      <c r="K119" s="25">
        <v>5.3</v>
      </c>
      <c r="L119" s="25">
        <v>4.5</v>
      </c>
      <c r="M119" s="25">
        <v>2.08</v>
      </c>
      <c r="N119" s="25">
        <v>8.5999999999999993E-2</v>
      </c>
      <c r="O119" s="33">
        <v>4.1000000000000002E-2</v>
      </c>
      <c r="P119" s="51">
        <f t="shared" si="39"/>
        <v>5.08476632</v>
      </c>
      <c r="Q119" s="51">
        <f t="shared" si="40"/>
        <v>5.3</v>
      </c>
      <c r="R119" s="51">
        <f t="shared" si="41"/>
        <v>2.0411640000000002</v>
      </c>
      <c r="S119" s="51">
        <f t="shared" si="42"/>
        <v>0.94347135999999998</v>
      </c>
      <c r="T119" s="51">
        <f t="shared" si="43"/>
        <v>3.9008912E-2</v>
      </c>
      <c r="U119" s="51">
        <f t="shared" si="44"/>
        <v>1.8597272000000001E-2</v>
      </c>
      <c r="V119" s="25">
        <v>15.6</v>
      </c>
      <c r="W119" s="47">
        <f t="shared" si="45"/>
        <v>7.0760351999999997</v>
      </c>
      <c r="X119" s="44">
        <v>71.8</v>
      </c>
      <c r="Y119" s="54">
        <v>0.79</v>
      </c>
      <c r="Z119" s="47">
        <f t="shared" si="46"/>
        <v>0.35833767999999999</v>
      </c>
      <c r="AA119" s="1">
        <v>0.51</v>
      </c>
      <c r="AB119" s="47">
        <f t="shared" si="47"/>
        <v>0.23133192</v>
      </c>
      <c r="AC119" s="1">
        <v>13.3</v>
      </c>
      <c r="AD119" s="1">
        <v>0.55000000000000004</v>
      </c>
      <c r="AE119" s="6">
        <v>0.26</v>
      </c>
    </row>
    <row r="120" spans="1:31">
      <c r="A120" s="3"/>
      <c r="C120" s="47" t="str">
        <f t="shared" si="38"/>
        <v/>
      </c>
      <c r="D120" s="1">
        <v>700</v>
      </c>
      <c r="E120" s="47">
        <f t="shared" si="48"/>
        <v>317.51440000000002</v>
      </c>
      <c r="H120" s="1">
        <v>3</v>
      </c>
      <c r="I120" s="47">
        <f t="shared" si="49"/>
        <v>1.360776</v>
      </c>
      <c r="J120" s="32">
        <v>12.56</v>
      </c>
      <c r="K120" s="25">
        <v>5.9</v>
      </c>
      <c r="L120" s="25">
        <v>5.0999999999999996</v>
      </c>
      <c r="M120" s="25">
        <v>2.09</v>
      </c>
      <c r="N120" s="25">
        <v>8.3000000000000004E-2</v>
      </c>
      <c r="O120" s="33">
        <v>4.1000000000000002E-2</v>
      </c>
      <c r="P120" s="51">
        <f t="shared" si="39"/>
        <v>5.6971155200000005</v>
      </c>
      <c r="Q120" s="51">
        <f t="shared" si="40"/>
        <v>5.9</v>
      </c>
      <c r="R120" s="51">
        <f t="shared" si="41"/>
        <v>2.3133192</v>
      </c>
      <c r="S120" s="51">
        <f t="shared" si="42"/>
        <v>0.9480072799999999</v>
      </c>
      <c r="T120" s="51">
        <f t="shared" si="43"/>
        <v>3.7648135999999999E-2</v>
      </c>
      <c r="U120" s="51">
        <f t="shared" si="44"/>
        <v>1.8597272000000001E-2</v>
      </c>
      <c r="V120" s="25">
        <v>17.600000000000001</v>
      </c>
      <c r="W120" s="47">
        <f t="shared" si="45"/>
        <v>7.9832192000000006</v>
      </c>
      <c r="X120" s="44">
        <v>71.599999999999994</v>
      </c>
      <c r="Y120" s="54">
        <v>0.79</v>
      </c>
      <c r="Z120" s="47">
        <f t="shared" si="46"/>
        <v>0.35833767999999999</v>
      </c>
      <c r="AA120" s="1">
        <v>0.51</v>
      </c>
      <c r="AB120" s="47">
        <f t="shared" si="47"/>
        <v>0.23133192</v>
      </c>
      <c r="AC120" s="1">
        <v>11.9</v>
      </c>
      <c r="AD120" s="1">
        <v>0.48</v>
      </c>
      <c r="AE120" s="6">
        <v>0.23</v>
      </c>
    </row>
    <row r="121" spans="1:31">
      <c r="A121" s="3"/>
      <c r="C121" s="47" t="str">
        <f t="shared" si="38"/>
        <v/>
      </c>
      <c r="D121" s="1">
        <v>800</v>
      </c>
      <c r="E121" s="47">
        <f t="shared" si="48"/>
        <v>362.87360000000001</v>
      </c>
      <c r="H121" s="1">
        <v>3</v>
      </c>
      <c r="I121" s="47">
        <f t="shared" si="49"/>
        <v>1.360776</v>
      </c>
      <c r="J121" s="32">
        <v>13.88</v>
      </c>
      <c r="K121" s="25">
        <v>6.5</v>
      </c>
      <c r="L121" s="25">
        <v>5.6</v>
      </c>
      <c r="M121" s="25">
        <v>2.09</v>
      </c>
      <c r="N121" s="25">
        <v>8.1000000000000003E-2</v>
      </c>
      <c r="O121" s="33">
        <v>4.1000000000000002E-2</v>
      </c>
      <c r="P121" s="51">
        <f t="shared" si="39"/>
        <v>6.2958569600000001</v>
      </c>
      <c r="Q121" s="51">
        <f t="shared" si="40"/>
        <v>6.5</v>
      </c>
      <c r="R121" s="51">
        <f t="shared" si="41"/>
        <v>2.5401151999999998</v>
      </c>
      <c r="S121" s="51">
        <f t="shared" si="42"/>
        <v>0.9480072799999999</v>
      </c>
      <c r="T121" s="51">
        <f t="shared" si="43"/>
        <v>3.6740952E-2</v>
      </c>
      <c r="U121" s="51">
        <f t="shared" si="44"/>
        <v>1.8597272000000001E-2</v>
      </c>
      <c r="V121" s="25">
        <v>19.399999999999999</v>
      </c>
      <c r="W121" s="47">
        <f t="shared" si="45"/>
        <v>8.7996847999999996</v>
      </c>
      <c r="X121" s="44">
        <v>71.5</v>
      </c>
      <c r="Y121" s="54">
        <v>0.79</v>
      </c>
      <c r="Z121" s="47">
        <f t="shared" si="46"/>
        <v>0.35833767999999999</v>
      </c>
      <c r="AA121" s="1">
        <v>0.51</v>
      </c>
      <c r="AB121" s="47">
        <f t="shared" si="47"/>
        <v>0.23133192</v>
      </c>
      <c r="AC121" s="1">
        <v>10.8</v>
      </c>
      <c r="AD121" s="1">
        <v>0.42</v>
      </c>
      <c r="AE121" s="6">
        <v>0.21</v>
      </c>
    </row>
    <row r="122" spans="1:31">
      <c r="A122" s="3"/>
      <c r="C122" s="47" t="str">
        <f t="shared" si="38"/>
        <v/>
      </c>
      <c r="D122" s="1">
        <v>900</v>
      </c>
      <c r="E122" s="47">
        <f t="shared" si="48"/>
        <v>408.2328</v>
      </c>
      <c r="H122" s="1">
        <v>3</v>
      </c>
      <c r="I122" s="47">
        <f t="shared" si="49"/>
        <v>1.360776</v>
      </c>
      <c r="J122" s="32">
        <v>15.16</v>
      </c>
      <c r="K122" s="25">
        <v>7.1</v>
      </c>
      <c r="L122" s="25">
        <v>6.2</v>
      </c>
      <c r="M122" s="25">
        <v>2.09</v>
      </c>
      <c r="N122" s="25">
        <v>0.08</v>
      </c>
      <c r="O122" s="33">
        <v>4.2000000000000003E-2</v>
      </c>
      <c r="P122" s="51">
        <f t="shared" si="39"/>
        <v>6.8764547199999999</v>
      </c>
      <c r="Q122" s="51">
        <f t="shared" si="40"/>
        <v>7.1</v>
      </c>
      <c r="R122" s="51">
        <f t="shared" si="41"/>
        <v>2.8122704000000001</v>
      </c>
      <c r="S122" s="51">
        <f t="shared" si="42"/>
        <v>0.9480072799999999</v>
      </c>
      <c r="T122" s="51">
        <f t="shared" si="43"/>
        <v>3.6287359999999998E-2</v>
      </c>
      <c r="U122" s="51">
        <f t="shared" si="44"/>
        <v>1.9050864000000001E-2</v>
      </c>
      <c r="V122" s="25">
        <v>21.2</v>
      </c>
      <c r="W122" s="47">
        <f t="shared" si="45"/>
        <v>9.6161504000000004</v>
      </c>
      <c r="X122" s="44">
        <v>71.5</v>
      </c>
      <c r="Y122" s="54">
        <v>0.79</v>
      </c>
      <c r="Z122" s="47">
        <f t="shared" si="46"/>
        <v>0.35833767999999999</v>
      </c>
      <c r="AA122" s="1">
        <v>0.51</v>
      </c>
      <c r="AB122" s="47">
        <f t="shared" si="47"/>
        <v>0.23133192</v>
      </c>
      <c r="AC122" s="1">
        <v>9.9</v>
      </c>
      <c r="AD122" s="1">
        <v>0.38</v>
      </c>
      <c r="AE122" s="6">
        <v>0.2</v>
      </c>
    </row>
    <row r="123" spans="1:31">
      <c r="A123" s="3"/>
      <c r="C123" s="47" t="str">
        <f t="shared" si="38"/>
        <v/>
      </c>
      <c r="D123" s="15">
        <v>1000</v>
      </c>
      <c r="E123" s="47">
        <f t="shared" si="48"/>
        <v>453.59199999999998</v>
      </c>
      <c r="F123" s="15"/>
      <c r="G123" s="15"/>
      <c r="H123" s="1">
        <v>3</v>
      </c>
      <c r="I123" s="47">
        <f t="shared" si="49"/>
        <v>1.360776</v>
      </c>
      <c r="J123" s="32">
        <v>16.41</v>
      </c>
      <c r="K123" s="25">
        <v>7.7</v>
      </c>
      <c r="L123" s="25">
        <v>6.7</v>
      </c>
      <c r="M123" s="25">
        <v>2.1</v>
      </c>
      <c r="N123" s="25">
        <v>7.8E-2</v>
      </c>
      <c r="O123" s="33">
        <v>4.2000000000000003E-2</v>
      </c>
      <c r="P123" s="51">
        <f t="shared" si="39"/>
        <v>7.4434447199999996</v>
      </c>
      <c r="Q123" s="51">
        <f t="shared" si="40"/>
        <v>7.7</v>
      </c>
      <c r="R123" s="51">
        <f t="shared" si="41"/>
        <v>3.0390663999999998</v>
      </c>
      <c r="S123" s="51">
        <f t="shared" si="42"/>
        <v>0.95254320000000003</v>
      </c>
      <c r="T123" s="51">
        <f t="shared" si="43"/>
        <v>3.5380175999999999E-2</v>
      </c>
      <c r="U123" s="51">
        <f t="shared" si="44"/>
        <v>1.9050864000000001E-2</v>
      </c>
      <c r="V123" s="25">
        <v>22.9</v>
      </c>
      <c r="W123" s="47">
        <f t="shared" si="45"/>
        <v>10.387256799999999</v>
      </c>
      <c r="X123" s="44">
        <v>71.599999999999994</v>
      </c>
      <c r="Y123" s="54">
        <v>0.79</v>
      </c>
      <c r="Z123" s="47">
        <f t="shared" si="46"/>
        <v>0.35833767999999999</v>
      </c>
      <c r="AA123" s="1">
        <v>0.51</v>
      </c>
      <c r="AB123" s="47">
        <f t="shared" si="47"/>
        <v>0.23133192</v>
      </c>
      <c r="AC123" s="1">
        <v>9.1</v>
      </c>
      <c r="AD123" s="1">
        <v>0.34</v>
      </c>
      <c r="AE123" s="6">
        <v>0.18</v>
      </c>
    </row>
    <row r="124" spans="1:31">
      <c r="A124" s="3"/>
      <c r="C124" s="47" t="str">
        <f t="shared" si="38"/>
        <v/>
      </c>
      <c r="D124" s="15">
        <v>1100</v>
      </c>
      <c r="E124" s="47">
        <f t="shared" si="48"/>
        <v>498.95119999999997</v>
      </c>
      <c r="F124" s="15"/>
      <c r="G124" s="15"/>
      <c r="H124" s="1">
        <v>3</v>
      </c>
      <c r="I124" s="47">
        <f t="shared" si="49"/>
        <v>1.360776</v>
      </c>
      <c r="J124" s="32">
        <v>17.64</v>
      </c>
      <c r="K124" s="25">
        <v>8.3000000000000007</v>
      </c>
      <c r="L124" s="25">
        <v>7.2</v>
      </c>
      <c r="M124" s="25">
        <v>2.1</v>
      </c>
      <c r="N124" s="25">
        <v>7.5999999999999998E-2</v>
      </c>
      <c r="O124" s="33">
        <v>4.2999999999999997E-2</v>
      </c>
      <c r="P124" s="51">
        <f t="shared" si="39"/>
        <v>8.0013628800000003</v>
      </c>
      <c r="Q124" s="51">
        <f t="shared" si="40"/>
        <v>8.3000000000000007</v>
      </c>
      <c r="R124" s="51">
        <f t="shared" si="41"/>
        <v>3.2658624000000001</v>
      </c>
      <c r="S124" s="51">
        <f t="shared" si="42"/>
        <v>0.95254320000000003</v>
      </c>
      <c r="T124" s="51">
        <f t="shared" si="43"/>
        <v>3.4472992000000001E-2</v>
      </c>
      <c r="U124" s="51">
        <f t="shared" si="44"/>
        <v>1.9504456E-2</v>
      </c>
      <c r="V124" s="25">
        <v>24.6</v>
      </c>
      <c r="W124" s="47">
        <f t="shared" si="45"/>
        <v>11.1583632</v>
      </c>
      <c r="X124" s="44">
        <v>71.599999999999994</v>
      </c>
      <c r="Y124" s="54">
        <v>0.79</v>
      </c>
      <c r="Z124" s="47">
        <f t="shared" si="46"/>
        <v>0.35833767999999999</v>
      </c>
      <c r="AA124" s="1">
        <v>0.51</v>
      </c>
      <c r="AB124" s="47">
        <f t="shared" si="47"/>
        <v>0.23133192</v>
      </c>
      <c r="AC124" s="1">
        <v>8.5</v>
      </c>
      <c r="AD124" s="1">
        <v>0.31</v>
      </c>
      <c r="AE124" s="6">
        <v>0.17</v>
      </c>
    </row>
    <row r="125" spans="1:31">
      <c r="A125" s="3"/>
      <c r="C125" s="47" t="str">
        <f t="shared" si="38"/>
        <v/>
      </c>
      <c r="D125" s="1">
        <v>600</v>
      </c>
      <c r="E125" s="47">
        <f t="shared" si="48"/>
        <v>272.15519999999998</v>
      </c>
      <c r="H125" s="1">
        <v>3.3</v>
      </c>
      <c r="I125" s="47">
        <f t="shared" si="49"/>
        <v>1.4968535999999999</v>
      </c>
      <c r="J125" s="32">
        <v>11.58</v>
      </c>
      <c r="K125" s="25">
        <v>5.3</v>
      </c>
      <c r="L125" s="25">
        <v>5.0999999999999996</v>
      </c>
      <c r="M125" s="25">
        <v>2.2000000000000002</v>
      </c>
      <c r="N125" s="25">
        <v>9.1999999999999998E-2</v>
      </c>
      <c r="O125" s="33">
        <v>4.3999999999999997E-2</v>
      </c>
      <c r="P125" s="51">
        <f t="shared" si="39"/>
        <v>5.2525953599999999</v>
      </c>
      <c r="Q125" s="51">
        <f t="shared" si="40"/>
        <v>5.3</v>
      </c>
      <c r="R125" s="51">
        <f t="shared" si="41"/>
        <v>2.3133192</v>
      </c>
      <c r="S125" s="51">
        <f t="shared" si="42"/>
        <v>0.99790240000000008</v>
      </c>
      <c r="T125" s="51">
        <f t="shared" si="43"/>
        <v>4.1730464000000002E-2</v>
      </c>
      <c r="U125" s="51">
        <f t="shared" si="44"/>
        <v>1.9958047999999999E-2</v>
      </c>
      <c r="V125" s="25">
        <v>15.3</v>
      </c>
      <c r="W125" s="47">
        <f t="shared" si="45"/>
        <v>6.9399576000000005</v>
      </c>
      <c r="X125" s="44">
        <v>75.8</v>
      </c>
      <c r="Y125" s="54">
        <v>0.85</v>
      </c>
      <c r="Z125" s="47">
        <f t="shared" si="46"/>
        <v>0.38555319999999998</v>
      </c>
      <c r="AA125" s="1">
        <v>0.56000000000000005</v>
      </c>
      <c r="AB125" s="47">
        <f t="shared" si="47"/>
        <v>0.25401152000000005</v>
      </c>
      <c r="AC125" s="1">
        <v>14.4</v>
      </c>
      <c r="AD125" s="1">
        <v>0.6</v>
      </c>
      <c r="AE125" s="6">
        <v>0.28000000000000003</v>
      </c>
    </row>
    <row r="126" spans="1:31">
      <c r="A126" s="3"/>
      <c r="C126" s="47" t="str">
        <f t="shared" si="38"/>
        <v/>
      </c>
      <c r="D126" s="1">
        <v>700</v>
      </c>
      <c r="E126" s="47">
        <f t="shared" si="48"/>
        <v>317.51440000000002</v>
      </c>
      <c r="H126" s="1">
        <v>3.3</v>
      </c>
      <c r="I126" s="47">
        <f t="shared" si="49"/>
        <v>1.4968535999999999</v>
      </c>
      <c r="J126" s="32">
        <v>12.96</v>
      </c>
      <c r="K126" s="25">
        <v>5.9</v>
      </c>
      <c r="L126" s="25">
        <v>5.7</v>
      </c>
      <c r="M126" s="25">
        <v>2.19</v>
      </c>
      <c r="N126" s="25">
        <v>8.8999999999999996E-2</v>
      </c>
      <c r="O126" s="33">
        <v>4.2999999999999997E-2</v>
      </c>
      <c r="P126" s="51">
        <f t="shared" si="39"/>
        <v>5.8785523200000007</v>
      </c>
      <c r="Q126" s="51">
        <f t="shared" si="40"/>
        <v>5.9</v>
      </c>
      <c r="R126" s="51">
        <f t="shared" si="41"/>
        <v>2.5854743999999998</v>
      </c>
      <c r="S126" s="51">
        <f t="shared" si="42"/>
        <v>0.99336647999999994</v>
      </c>
      <c r="T126" s="51">
        <f t="shared" si="43"/>
        <v>4.0369688000000001E-2</v>
      </c>
      <c r="U126" s="51">
        <f t="shared" si="44"/>
        <v>1.9504456E-2</v>
      </c>
      <c r="V126" s="25">
        <v>17.2</v>
      </c>
      <c r="W126" s="47">
        <f t="shared" si="45"/>
        <v>7.8017823999999996</v>
      </c>
      <c r="X126" s="44">
        <v>75.5</v>
      </c>
      <c r="Y126" s="54">
        <v>0.84</v>
      </c>
      <c r="Z126" s="47">
        <f t="shared" si="46"/>
        <v>0.38101727999999996</v>
      </c>
      <c r="AA126" s="1">
        <v>0.56000000000000005</v>
      </c>
      <c r="AB126" s="47">
        <f t="shared" si="47"/>
        <v>0.25401152000000005</v>
      </c>
      <c r="AC126" s="1">
        <v>12.8</v>
      </c>
      <c r="AD126" s="1">
        <v>0.52</v>
      </c>
      <c r="AE126" s="6">
        <v>0.25</v>
      </c>
    </row>
    <row r="127" spans="1:31">
      <c r="A127" s="3"/>
      <c r="C127" s="47" t="str">
        <f t="shared" si="38"/>
        <v/>
      </c>
      <c r="D127" s="1">
        <v>800</v>
      </c>
      <c r="E127" s="47">
        <f t="shared" si="48"/>
        <v>362.87360000000001</v>
      </c>
      <c r="H127" s="1">
        <v>3.3</v>
      </c>
      <c r="I127" s="47">
        <f t="shared" si="49"/>
        <v>1.4968535999999999</v>
      </c>
      <c r="J127" s="32">
        <v>14.32</v>
      </c>
      <c r="K127" s="25">
        <v>6.5</v>
      </c>
      <c r="L127" s="25">
        <v>6.3</v>
      </c>
      <c r="M127" s="25">
        <v>2.19</v>
      </c>
      <c r="N127" s="25">
        <v>8.6999999999999994E-2</v>
      </c>
      <c r="O127" s="33">
        <v>4.3999999999999997E-2</v>
      </c>
      <c r="P127" s="51">
        <f t="shared" si="39"/>
        <v>6.4954374399999999</v>
      </c>
      <c r="Q127" s="51">
        <f t="shared" si="40"/>
        <v>6.5</v>
      </c>
      <c r="R127" s="51">
        <f t="shared" si="41"/>
        <v>2.8576296000000001</v>
      </c>
      <c r="S127" s="51">
        <f t="shared" si="42"/>
        <v>0.99336647999999994</v>
      </c>
      <c r="T127" s="51">
        <f t="shared" si="43"/>
        <v>3.9462503999999995E-2</v>
      </c>
      <c r="U127" s="51">
        <f t="shared" si="44"/>
        <v>1.9958047999999999E-2</v>
      </c>
      <c r="V127" s="25">
        <v>19</v>
      </c>
      <c r="W127" s="47">
        <f t="shared" si="45"/>
        <v>8.6182479999999995</v>
      </c>
      <c r="X127" s="44">
        <v>75.400000000000006</v>
      </c>
      <c r="Y127" s="54">
        <v>0.84</v>
      </c>
      <c r="Z127" s="47">
        <f t="shared" si="46"/>
        <v>0.38101727999999996</v>
      </c>
      <c r="AA127" s="1">
        <v>0.56000000000000005</v>
      </c>
      <c r="AB127" s="47">
        <f t="shared" si="47"/>
        <v>0.25401152000000005</v>
      </c>
      <c r="AC127" s="1">
        <v>11.5</v>
      </c>
      <c r="AD127" s="1">
        <v>0.46</v>
      </c>
      <c r="AE127" s="6">
        <v>0.23</v>
      </c>
    </row>
    <row r="128" spans="1:31">
      <c r="A128" s="3"/>
      <c r="C128" s="47" t="str">
        <f t="shared" si="38"/>
        <v/>
      </c>
      <c r="D128" s="1">
        <v>900</v>
      </c>
      <c r="E128" s="47">
        <f t="shared" si="48"/>
        <v>408.2328</v>
      </c>
      <c r="H128" s="1">
        <v>3.3</v>
      </c>
      <c r="I128" s="47">
        <f t="shared" si="49"/>
        <v>1.4968535999999999</v>
      </c>
      <c r="J128" s="32">
        <v>15.65</v>
      </c>
      <c r="K128" s="25">
        <v>7.1</v>
      </c>
      <c r="L128" s="25">
        <v>6.8</v>
      </c>
      <c r="M128" s="25">
        <v>2.1800000000000002</v>
      </c>
      <c r="N128" s="25">
        <v>8.4000000000000005E-2</v>
      </c>
      <c r="O128" s="33">
        <v>4.3999999999999997E-2</v>
      </c>
      <c r="P128" s="51">
        <f t="shared" si="39"/>
        <v>7.0987147999999998</v>
      </c>
      <c r="Q128" s="51">
        <f t="shared" si="40"/>
        <v>7.1</v>
      </c>
      <c r="R128" s="51">
        <f t="shared" si="41"/>
        <v>3.0844255999999999</v>
      </c>
      <c r="S128" s="51">
        <f t="shared" si="42"/>
        <v>0.98883056000000003</v>
      </c>
      <c r="T128" s="51">
        <f t="shared" si="43"/>
        <v>3.8101728000000001E-2</v>
      </c>
      <c r="U128" s="51">
        <f t="shared" si="44"/>
        <v>1.9958047999999999E-2</v>
      </c>
      <c r="V128" s="25">
        <v>20.7</v>
      </c>
      <c r="W128" s="47">
        <f t="shared" si="45"/>
        <v>9.3893544000000002</v>
      </c>
      <c r="X128" s="44">
        <v>75.400000000000006</v>
      </c>
      <c r="Y128" s="54">
        <v>0.84</v>
      </c>
      <c r="Z128" s="47">
        <f t="shared" si="46"/>
        <v>0.38101727999999996</v>
      </c>
      <c r="AA128" s="1">
        <v>0.56000000000000005</v>
      </c>
      <c r="AB128" s="47">
        <f t="shared" si="47"/>
        <v>0.25401152000000005</v>
      </c>
      <c r="AC128" s="1">
        <v>10.5</v>
      </c>
      <c r="AD128" s="1">
        <v>0.41</v>
      </c>
      <c r="AE128" s="6">
        <v>0.21</v>
      </c>
    </row>
    <row r="129" spans="1:31">
      <c r="A129" s="3"/>
      <c r="C129" s="47" t="str">
        <f t="shared" si="38"/>
        <v/>
      </c>
      <c r="D129" s="15">
        <v>1000</v>
      </c>
      <c r="E129" s="47">
        <f t="shared" si="48"/>
        <v>453.59199999999998</v>
      </c>
      <c r="F129" s="15"/>
      <c r="G129" s="15"/>
      <c r="H129" s="1">
        <v>3.3</v>
      </c>
      <c r="I129" s="47">
        <f t="shared" si="49"/>
        <v>1.4968535999999999</v>
      </c>
      <c r="J129" s="32">
        <v>16.940000000000001</v>
      </c>
      <c r="K129" s="25">
        <v>7.7</v>
      </c>
      <c r="L129" s="25">
        <v>7.4</v>
      </c>
      <c r="M129" s="25">
        <v>2.17</v>
      </c>
      <c r="N129" s="25">
        <v>8.2000000000000003E-2</v>
      </c>
      <c r="O129" s="33">
        <v>4.3999999999999997E-2</v>
      </c>
      <c r="P129" s="51">
        <f t="shared" si="39"/>
        <v>7.6838484800000009</v>
      </c>
      <c r="Q129" s="51">
        <f t="shared" si="40"/>
        <v>7.7</v>
      </c>
      <c r="R129" s="51">
        <f t="shared" si="41"/>
        <v>3.3565808000000001</v>
      </c>
      <c r="S129" s="51">
        <f t="shared" si="42"/>
        <v>0.98429464</v>
      </c>
      <c r="T129" s="51">
        <f t="shared" si="43"/>
        <v>3.7194544000000003E-2</v>
      </c>
      <c r="U129" s="51">
        <f t="shared" si="44"/>
        <v>1.9958047999999999E-2</v>
      </c>
      <c r="V129" s="25">
        <v>22.4</v>
      </c>
      <c r="W129" s="47">
        <f t="shared" si="45"/>
        <v>10.160460799999999</v>
      </c>
      <c r="X129" s="44">
        <v>75.5</v>
      </c>
      <c r="Y129" s="54">
        <v>0.84</v>
      </c>
      <c r="Z129" s="47">
        <f t="shared" si="46"/>
        <v>0.38101727999999996</v>
      </c>
      <c r="AA129" s="1">
        <v>0.56000000000000005</v>
      </c>
      <c r="AB129" s="47">
        <f t="shared" si="47"/>
        <v>0.25401152000000005</v>
      </c>
      <c r="AC129" s="1">
        <v>9.6999999999999993</v>
      </c>
      <c r="AD129" s="1">
        <v>0.37</v>
      </c>
      <c r="AE129" s="6">
        <v>0.2</v>
      </c>
    </row>
    <row r="130" spans="1:31">
      <c r="A130" s="13"/>
      <c r="B130" s="8"/>
      <c r="C130" s="47" t="str">
        <f t="shared" si="38"/>
        <v/>
      </c>
      <c r="D130" s="16">
        <v>1100</v>
      </c>
      <c r="E130" s="47">
        <f t="shared" si="48"/>
        <v>498.95119999999997</v>
      </c>
      <c r="F130" s="16"/>
      <c r="G130" s="16"/>
      <c r="H130" s="1">
        <v>3.3</v>
      </c>
      <c r="I130" s="47">
        <f t="shared" si="49"/>
        <v>1.4968535999999999</v>
      </c>
      <c r="J130" s="34">
        <v>18.21</v>
      </c>
      <c r="K130" s="35">
        <v>8.3000000000000007</v>
      </c>
      <c r="L130" s="35">
        <v>8</v>
      </c>
      <c r="M130" s="35">
        <v>2.17</v>
      </c>
      <c r="N130" s="35">
        <v>0.08</v>
      </c>
      <c r="O130" s="36">
        <v>4.3999999999999997E-2</v>
      </c>
      <c r="P130" s="51">
        <f t="shared" si="39"/>
        <v>8.2599103199999995</v>
      </c>
      <c r="Q130" s="51">
        <f t="shared" si="40"/>
        <v>8.3000000000000007</v>
      </c>
      <c r="R130" s="51">
        <f t="shared" si="41"/>
        <v>3.628736</v>
      </c>
      <c r="S130" s="51">
        <f t="shared" si="42"/>
        <v>0.98429464</v>
      </c>
      <c r="T130" s="51">
        <f t="shared" si="43"/>
        <v>3.6287359999999998E-2</v>
      </c>
      <c r="U130" s="51">
        <f t="shared" si="44"/>
        <v>1.9958047999999999E-2</v>
      </c>
      <c r="V130" s="35">
        <v>24.1</v>
      </c>
      <c r="W130" s="47">
        <f t="shared" si="45"/>
        <v>10.9315672</v>
      </c>
      <c r="X130" s="46">
        <v>75.599999999999994</v>
      </c>
      <c r="Y130" s="56">
        <v>0.85</v>
      </c>
      <c r="Z130" s="47">
        <f>IF(Y130&gt;0,(Y130*$B$1),"")</f>
        <v>0.38555319999999998</v>
      </c>
      <c r="AA130" s="8">
        <v>0.56000000000000005</v>
      </c>
      <c r="AB130" s="47">
        <f t="shared" si="47"/>
        <v>0.25401152000000005</v>
      </c>
      <c r="AC130" s="8">
        <v>9</v>
      </c>
      <c r="AD130" s="8">
        <v>0.33</v>
      </c>
      <c r="AE130" s="9">
        <v>0.18</v>
      </c>
    </row>
    <row r="131" spans="1:31">
      <c r="C131" s="47" t="str">
        <f t="shared" si="38"/>
        <v/>
      </c>
      <c r="E131" s="47" t="str">
        <f t="shared" si="48"/>
        <v/>
      </c>
      <c r="I131" s="47" t="str">
        <f t="shared" si="49"/>
        <v/>
      </c>
      <c r="P131" s="51">
        <f t="shared" si="39"/>
        <v>0</v>
      </c>
      <c r="Q131" s="51">
        <f t="shared" si="40"/>
        <v>0</v>
      </c>
      <c r="R131" s="51">
        <f t="shared" si="41"/>
        <v>0</v>
      </c>
      <c r="S131" s="51">
        <f t="shared" si="42"/>
        <v>0</v>
      </c>
      <c r="T131" s="51">
        <f t="shared" si="43"/>
        <v>0</v>
      </c>
      <c r="U131" s="51">
        <f t="shared" si="44"/>
        <v>0</v>
      </c>
    </row>
    <row r="132" spans="1:31">
      <c r="A132" s="11"/>
      <c r="B132" s="10"/>
      <c r="C132" s="47" t="str">
        <f t="shared" si="38"/>
        <v/>
      </c>
      <c r="D132" s="10"/>
      <c r="E132" s="47" t="str">
        <f t="shared" si="48"/>
        <v/>
      </c>
      <c r="F132" s="10"/>
      <c r="G132" s="10"/>
      <c r="H132" s="10"/>
      <c r="I132" s="47" t="str">
        <f t="shared" si="49"/>
        <v/>
      </c>
      <c r="J132" s="26" t="s">
        <v>10</v>
      </c>
      <c r="K132" s="27"/>
      <c r="L132" s="27"/>
      <c r="M132" s="27"/>
      <c r="N132" s="27"/>
      <c r="O132" s="28"/>
      <c r="P132" s="51" t="e">
        <f t="shared" si="39"/>
        <v>#VALUE!</v>
      </c>
      <c r="Q132" s="51">
        <f t="shared" si="40"/>
        <v>0</v>
      </c>
      <c r="R132" s="51">
        <f t="shared" si="41"/>
        <v>0</v>
      </c>
      <c r="S132" s="51">
        <f t="shared" si="42"/>
        <v>0</v>
      </c>
      <c r="T132" s="51">
        <f t="shared" si="43"/>
        <v>0</v>
      </c>
      <c r="U132" s="51">
        <f t="shared" si="44"/>
        <v>0</v>
      </c>
      <c r="V132" s="21" t="s">
        <v>21</v>
      </c>
      <c r="W132" s="21"/>
      <c r="X132" s="21"/>
      <c r="Y132" s="21"/>
      <c r="Z132" s="21"/>
      <c r="AA132" s="21"/>
      <c r="AB132" s="21"/>
      <c r="AC132" s="21"/>
      <c r="AD132" s="21"/>
      <c r="AE132" s="22"/>
    </row>
    <row r="133" spans="1:31" ht="26">
      <c r="A133" s="12" t="s">
        <v>42</v>
      </c>
      <c r="B133" s="2" t="s">
        <v>27</v>
      </c>
      <c r="C133" s="47" t="s">
        <v>132</v>
      </c>
      <c r="D133" s="2" t="s">
        <v>31</v>
      </c>
      <c r="E133" s="49" t="s">
        <v>128</v>
      </c>
      <c r="F133" s="2"/>
      <c r="G133" s="2"/>
      <c r="H133" s="2" t="s">
        <v>30</v>
      </c>
      <c r="I133" s="45" t="s">
        <v>133</v>
      </c>
      <c r="J133" s="29" t="s">
        <v>11</v>
      </c>
      <c r="K133" s="30" t="s">
        <v>23</v>
      </c>
      <c r="L133" s="30" t="s">
        <v>24</v>
      </c>
      <c r="M133" s="30" t="s">
        <v>12</v>
      </c>
      <c r="N133" s="30" t="s">
        <v>13</v>
      </c>
      <c r="O133" s="31" t="s">
        <v>14</v>
      </c>
      <c r="P133" s="48" t="s">
        <v>130</v>
      </c>
      <c r="Q133" s="49" t="s">
        <v>23</v>
      </c>
      <c r="R133" s="49" t="s">
        <v>129</v>
      </c>
      <c r="S133" s="49" t="s">
        <v>117</v>
      </c>
      <c r="T133" s="49" t="s">
        <v>118</v>
      </c>
      <c r="U133" s="50" t="s">
        <v>119</v>
      </c>
      <c r="V133" s="29" t="s">
        <v>15</v>
      </c>
      <c r="W133" s="48" t="s">
        <v>120</v>
      </c>
      <c r="X133" s="45" t="s">
        <v>16</v>
      </c>
      <c r="Y133" s="55" t="s">
        <v>17</v>
      </c>
      <c r="Z133" s="49" t="s">
        <v>126</v>
      </c>
      <c r="AA133" s="2" t="s">
        <v>24</v>
      </c>
      <c r="AB133" s="49" t="s">
        <v>127</v>
      </c>
      <c r="AC133" s="2" t="s">
        <v>18</v>
      </c>
      <c r="AD133" s="2" t="s">
        <v>19</v>
      </c>
      <c r="AE133" s="4" t="s">
        <v>20</v>
      </c>
    </row>
    <row r="134" spans="1:31">
      <c r="A134" s="3"/>
      <c r="B134" s="1">
        <v>2200</v>
      </c>
      <c r="C134" s="47">
        <f t="shared" si="38"/>
        <v>997.90239999999994</v>
      </c>
      <c r="D134" s="1">
        <v>500</v>
      </c>
      <c r="E134" s="47">
        <f t="shared" si="48"/>
        <v>226.79599999999999</v>
      </c>
      <c r="H134" s="1">
        <v>1</v>
      </c>
      <c r="I134" s="47">
        <f t="shared" si="49"/>
        <v>0.453592</v>
      </c>
      <c r="J134" s="32">
        <v>6.73</v>
      </c>
      <c r="K134" s="25">
        <v>5.3</v>
      </c>
      <c r="L134" s="25">
        <v>0.8</v>
      </c>
      <c r="M134" s="25">
        <v>1.1499999999999999</v>
      </c>
      <c r="N134" s="25">
        <v>4.3999999999999997E-2</v>
      </c>
      <c r="O134" s="33">
        <v>2.3E-2</v>
      </c>
      <c r="P134" s="51">
        <f t="shared" si="39"/>
        <v>3.05267416</v>
      </c>
      <c r="Q134" s="51">
        <f t="shared" si="40"/>
        <v>5.3</v>
      </c>
      <c r="R134" s="51">
        <f t="shared" si="41"/>
        <v>0.36287360000000002</v>
      </c>
      <c r="S134" s="51">
        <f t="shared" si="42"/>
        <v>0.52163079999999995</v>
      </c>
      <c r="T134" s="51">
        <f t="shared" si="43"/>
        <v>1.9958047999999999E-2</v>
      </c>
      <c r="U134" s="51">
        <f t="shared" si="44"/>
        <v>1.0432616E-2</v>
      </c>
      <c r="V134" s="25">
        <v>11.3</v>
      </c>
      <c r="W134" s="47">
        <f>V134*$B$1</f>
        <v>5.1255896000000005</v>
      </c>
      <c r="X134" s="44">
        <v>59.6</v>
      </c>
      <c r="Y134" s="54">
        <v>0.59</v>
      </c>
      <c r="Z134" s="47">
        <f>IF(Y134&gt;0,(Y134*$B$1),"")</f>
        <v>0.26761927999999996</v>
      </c>
      <c r="AA134" s="1">
        <v>0.33</v>
      </c>
      <c r="AB134" s="47">
        <f>IF(AA134&gt;0,(AA134*$B$1),"")</f>
        <v>0.14968536000000002</v>
      </c>
      <c r="AC134" s="1">
        <v>10.199999999999999</v>
      </c>
      <c r="AD134" s="1">
        <v>0.39</v>
      </c>
      <c r="AE134" s="6">
        <v>0.21</v>
      </c>
    </row>
    <row r="135" spans="1:31">
      <c r="A135" s="3"/>
      <c r="C135" s="47" t="str">
        <f t="shared" si="38"/>
        <v/>
      </c>
      <c r="D135" s="1">
        <v>600</v>
      </c>
      <c r="E135" s="47">
        <f t="shared" si="48"/>
        <v>272.15519999999998</v>
      </c>
      <c r="H135" s="1">
        <v>1</v>
      </c>
      <c r="I135" s="47">
        <f t="shared" si="49"/>
        <v>0.453592</v>
      </c>
      <c r="J135" s="32">
        <v>7.73</v>
      </c>
      <c r="K135" s="25">
        <v>6.1</v>
      </c>
      <c r="L135" s="25">
        <v>0.8</v>
      </c>
      <c r="M135" s="25">
        <v>1.24</v>
      </c>
      <c r="N135" s="25">
        <v>4.5999999999999999E-2</v>
      </c>
      <c r="O135" s="33">
        <v>2.5000000000000001E-2</v>
      </c>
      <c r="P135" s="51">
        <f t="shared" si="39"/>
        <v>3.50626616</v>
      </c>
      <c r="Q135" s="51">
        <f t="shared" si="40"/>
        <v>6.1</v>
      </c>
      <c r="R135" s="51">
        <f t="shared" si="41"/>
        <v>0.36287360000000002</v>
      </c>
      <c r="S135" s="51">
        <f t="shared" si="42"/>
        <v>0.56245407999999997</v>
      </c>
      <c r="T135" s="51">
        <f t="shared" si="43"/>
        <v>2.0865232000000001E-2</v>
      </c>
      <c r="U135" s="51">
        <f t="shared" si="44"/>
        <v>1.1339800000000001E-2</v>
      </c>
      <c r="V135" s="25">
        <v>12.9</v>
      </c>
      <c r="W135" s="47">
        <f t="shared" ref="W135:W158" si="50">V135*$B$1</f>
        <v>5.8513368000000003</v>
      </c>
      <c r="X135" s="44">
        <v>59.7</v>
      </c>
      <c r="Y135" s="54">
        <v>0.59</v>
      </c>
      <c r="Z135" s="47">
        <f t="shared" ref="Z135:Z158" si="51">IF(Y135&gt;0,(Y135*$B$1),"")</f>
        <v>0.26761927999999996</v>
      </c>
      <c r="AA135" s="1">
        <v>0.33</v>
      </c>
      <c r="AB135" s="47">
        <f t="shared" ref="AB135:AB158" si="52">IF(AA135&gt;0,(AA135*$B$1),"")</f>
        <v>0.14968536000000002</v>
      </c>
      <c r="AC135" s="1">
        <v>9.5</v>
      </c>
      <c r="AD135" s="1">
        <v>0.36</v>
      </c>
      <c r="AE135" s="6">
        <v>0.19</v>
      </c>
    </row>
    <row r="136" spans="1:31">
      <c r="A136" s="3"/>
      <c r="C136" s="47" t="str">
        <f t="shared" si="38"/>
        <v/>
      </c>
      <c r="D136" s="1">
        <v>700</v>
      </c>
      <c r="E136" s="47">
        <f t="shared" si="48"/>
        <v>317.51440000000002</v>
      </c>
      <c r="H136" s="1">
        <v>1</v>
      </c>
      <c r="I136" s="47">
        <f t="shared" si="49"/>
        <v>0.453592</v>
      </c>
      <c r="J136" s="32">
        <v>8.65</v>
      </c>
      <c r="K136" s="25">
        <v>6.8</v>
      </c>
      <c r="L136" s="25">
        <v>1</v>
      </c>
      <c r="M136" s="25">
        <v>1.32</v>
      </c>
      <c r="N136" s="25">
        <v>4.8000000000000001E-2</v>
      </c>
      <c r="O136" s="33">
        <v>2.7E-2</v>
      </c>
      <c r="P136" s="51">
        <f t="shared" si="39"/>
        <v>3.9235708000000002</v>
      </c>
      <c r="Q136" s="51">
        <f t="shared" si="40"/>
        <v>6.8</v>
      </c>
      <c r="R136" s="51">
        <f t="shared" si="41"/>
        <v>0.453592</v>
      </c>
      <c r="S136" s="51">
        <f t="shared" si="42"/>
        <v>0.59874144000000007</v>
      </c>
      <c r="T136" s="51">
        <f t="shared" si="43"/>
        <v>2.1772415999999999E-2</v>
      </c>
      <c r="U136" s="51">
        <f t="shared" si="44"/>
        <v>1.2246983999999999E-2</v>
      </c>
      <c r="V136" s="25">
        <v>14.5</v>
      </c>
      <c r="W136" s="47">
        <f t="shared" si="50"/>
        <v>6.5770840000000002</v>
      </c>
      <c r="X136" s="44">
        <v>59.6</v>
      </c>
      <c r="Y136" s="54">
        <v>0.59</v>
      </c>
      <c r="Z136" s="47">
        <f t="shared" si="51"/>
        <v>0.26761927999999996</v>
      </c>
      <c r="AA136" s="1">
        <v>0.33</v>
      </c>
      <c r="AB136" s="47">
        <f t="shared" si="52"/>
        <v>0.14968536000000002</v>
      </c>
      <c r="AC136" s="1">
        <v>9.1</v>
      </c>
      <c r="AD136" s="1">
        <v>0.33</v>
      </c>
      <c r="AE136" s="6">
        <v>0.19</v>
      </c>
    </row>
    <row r="137" spans="1:31">
      <c r="A137" s="3"/>
      <c r="C137" s="47" t="str">
        <f t="shared" si="38"/>
        <v/>
      </c>
      <c r="D137" s="1">
        <v>800</v>
      </c>
      <c r="E137" s="47">
        <f t="shared" si="48"/>
        <v>362.87360000000001</v>
      </c>
      <c r="H137" s="1">
        <v>1</v>
      </c>
      <c r="I137" s="47">
        <f t="shared" si="49"/>
        <v>0.453592</v>
      </c>
      <c r="J137" s="32">
        <v>9.5500000000000007</v>
      </c>
      <c r="K137" s="25">
        <v>7.5</v>
      </c>
      <c r="L137" s="25">
        <v>1.1000000000000001</v>
      </c>
      <c r="M137" s="25">
        <v>1.4</v>
      </c>
      <c r="N137" s="25">
        <v>0.05</v>
      </c>
      <c r="O137" s="33">
        <v>2.9000000000000001E-2</v>
      </c>
      <c r="P137" s="51">
        <f t="shared" si="39"/>
        <v>4.3318036000000006</v>
      </c>
      <c r="Q137" s="51">
        <f t="shared" si="40"/>
        <v>7.5</v>
      </c>
      <c r="R137" s="51">
        <f t="shared" si="41"/>
        <v>0.49895120000000004</v>
      </c>
      <c r="S137" s="51">
        <f t="shared" si="42"/>
        <v>0.63502879999999995</v>
      </c>
      <c r="T137" s="51">
        <f t="shared" si="43"/>
        <v>2.2679600000000001E-2</v>
      </c>
      <c r="U137" s="51">
        <f t="shared" si="44"/>
        <v>1.3154168000000001E-2</v>
      </c>
      <c r="V137" s="25">
        <v>16</v>
      </c>
      <c r="W137" s="47">
        <f t="shared" si="50"/>
        <v>7.2574719999999999</v>
      </c>
      <c r="X137" s="44">
        <v>59.5</v>
      </c>
      <c r="Y137" s="54">
        <v>0.59</v>
      </c>
      <c r="Z137" s="47">
        <f t="shared" si="51"/>
        <v>0.26761927999999996</v>
      </c>
      <c r="AA137" s="1">
        <v>0.33</v>
      </c>
      <c r="AB137" s="47">
        <f t="shared" si="52"/>
        <v>0.14968536000000002</v>
      </c>
      <c r="AC137" s="1">
        <v>8.6999999999999993</v>
      </c>
      <c r="AD137" s="1">
        <v>0.31</v>
      </c>
      <c r="AE137" s="6">
        <v>0.18</v>
      </c>
    </row>
    <row r="138" spans="1:31">
      <c r="A138" s="3"/>
      <c r="C138" s="47" t="str">
        <f t="shared" si="38"/>
        <v/>
      </c>
      <c r="D138" s="1">
        <v>900</v>
      </c>
      <c r="E138" s="47">
        <f t="shared" si="48"/>
        <v>408.2328</v>
      </c>
      <c r="H138" s="1">
        <v>1</v>
      </c>
      <c r="I138" s="47">
        <f t="shared" si="49"/>
        <v>0.453592</v>
      </c>
      <c r="J138" s="32">
        <v>10.43</v>
      </c>
      <c r="K138" s="25">
        <v>8.1999999999999993</v>
      </c>
      <c r="L138" s="25">
        <v>1.2</v>
      </c>
      <c r="M138" s="25">
        <v>1.48</v>
      </c>
      <c r="N138" s="25">
        <v>5.1999999999999998E-2</v>
      </c>
      <c r="O138" s="33">
        <v>3.1E-2</v>
      </c>
      <c r="P138" s="51">
        <f t="shared" si="39"/>
        <v>4.7309645599999994</v>
      </c>
      <c r="Q138" s="51">
        <f t="shared" si="40"/>
        <v>8.1999999999999993</v>
      </c>
      <c r="R138" s="51">
        <f t="shared" si="41"/>
        <v>0.54431039999999997</v>
      </c>
      <c r="S138" s="51">
        <f t="shared" si="42"/>
        <v>0.67131615999999994</v>
      </c>
      <c r="T138" s="51">
        <f t="shared" si="43"/>
        <v>2.3586784E-2</v>
      </c>
      <c r="U138" s="51">
        <f t="shared" si="44"/>
        <v>1.4061351999999999E-2</v>
      </c>
      <c r="V138" s="25">
        <v>17.5</v>
      </c>
      <c r="W138" s="47">
        <f t="shared" si="50"/>
        <v>7.9378599999999997</v>
      </c>
      <c r="X138" s="44">
        <v>59.5</v>
      </c>
      <c r="Y138" s="54">
        <v>0.59</v>
      </c>
      <c r="Z138" s="47">
        <f t="shared" si="51"/>
        <v>0.26761927999999996</v>
      </c>
      <c r="AA138" s="1">
        <v>0.33</v>
      </c>
      <c r="AB138" s="47">
        <f t="shared" si="52"/>
        <v>0.14968536000000002</v>
      </c>
      <c r="AC138" s="1">
        <v>8.5</v>
      </c>
      <c r="AD138" s="1">
        <v>0.3</v>
      </c>
      <c r="AE138" s="6">
        <v>0.18</v>
      </c>
    </row>
    <row r="139" spans="1:31">
      <c r="A139" s="3"/>
      <c r="C139" s="47" t="str">
        <f t="shared" si="38"/>
        <v/>
      </c>
      <c r="D139" s="1">
        <v>500</v>
      </c>
      <c r="E139" s="47">
        <f t="shared" si="48"/>
        <v>226.79599999999999</v>
      </c>
      <c r="H139" s="1">
        <v>1.5</v>
      </c>
      <c r="I139" s="47">
        <f t="shared" si="49"/>
        <v>0.68038799999999999</v>
      </c>
      <c r="J139" s="32">
        <v>7.2</v>
      </c>
      <c r="K139" s="25">
        <v>5.3</v>
      </c>
      <c r="L139" s="25">
        <v>1.2</v>
      </c>
      <c r="M139" s="25">
        <v>1.36</v>
      </c>
      <c r="N139" s="25">
        <v>5.8999999999999997E-2</v>
      </c>
      <c r="O139" s="33">
        <v>2.9000000000000001E-2</v>
      </c>
      <c r="P139" s="51">
        <f t="shared" si="39"/>
        <v>3.2658624000000001</v>
      </c>
      <c r="Q139" s="51">
        <f t="shared" si="40"/>
        <v>5.3</v>
      </c>
      <c r="R139" s="51">
        <f t="shared" si="41"/>
        <v>0.54431039999999997</v>
      </c>
      <c r="S139" s="51">
        <f t="shared" si="42"/>
        <v>0.61688512000000006</v>
      </c>
      <c r="T139" s="51">
        <f t="shared" si="43"/>
        <v>2.6761927999999997E-2</v>
      </c>
      <c r="U139" s="51">
        <f t="shared" si="44"/>
        <v>1.3154168000000001E-2</v>
      </c>
      <c r="V139" s="25">
        <v>11.5</v>
      </c>
      <c r="W139" s="47">
        <f t="shared" si="50"/>
        <v>5.2163079999999997</v>
      </c>
      <c r="X139" s="44">
        <v>62.8</v>
      </c>
      <c r="Y139" s="54">
        <v>0.64</v>
      </c>
      <c r="Z139" s="47">
        <f t="shared" si="51"/>
        <v>0.29029887999999998</v>
      </c>
      <c r="AA139" s="1">
        <v>0.37</v>
      </c>
      <c r="AB139" s="47">
        <f t="shared" si="52"/>
        <v>0.16782903999999998</v>
      </c>
      <c r="AC139" s="1">
        <v>11.9</v>
      </c>
      <c r="AD139" s="1">
        <v>0.51</v>
      </c>
      <c r="AE139" s="6">
        <v>0.25</v>
      </c>
    </row>
    <row r="140" spans="1:31">
      <c r="A140" s="3"/>
      <c r="C140" s="47" t="str">
        <f t="shared" si="38"/>
        <v/>
      </c>
      <c r="D140" s="1">
        <v>600</v>
      </c>
      <c r="E140" s="47">
        <f t="shared" si="48"/>
        <v>272.15519999999998</v>
      </c>
      <c r="H140" s="1">
        <v>1.5</v>
      </c>
      <c r="I140" s="47">
        <f t="shared" si="49"/>
        <v>0.68038799999999999</v>
      </c>
      <c r="J140" s="32">
        <v>8.27</v>
      </c>
      <c r="K140" s="25">
        <v>6.1</v>
      </c>
      <c r="L140" s="25">
        <v>1.4</v>
      </c>
      <c r="M140" s="25">
        <v>1.44</v>
      </c>
      <c r="N140" s="25">
        <v>0.06</v>
      </c>
      <c r="O140" s="33">
        <v>3.1E-2</v>
      </c>
      <c r="P140" s="51">
        <f t="shared" si="39"/>
        <v>3.7512058399999999</v>
      </c>
      <c r="Q140" s="51">
        <f t="shared" si="40"/>
        <v>6.1</v>
      </c>
      <c r="R140" s="51">
        <f t="shared" si="41"/>
        <v>0.63502879999999995</v>
      </c>
      <c r="S140" s="51">
        <f t="shared" si="42"/>
        <v>0.65317247999999994</v>
      </c>
      <c r="T140" s="51">
        <f t="shared" si="43"/>
        <v>2.721552E-2</v>
      </c>
      <c r="U140" s="51">
        <f t="shared" si="44"/>
        <v>1.4061351999999999E-2</v>
      </c>
      <c r="V140" s="25">
        <v>13.2</v>
      </c>
      <c r="W140" s="47">
        <f t="shared" si="50"/>
        <v>5.9874143999999996</v>
      </c>
      <c r="X140" s="44">
        <v>62.9</v>
      </c>
      <c r="Y140" s="54">
        <v>0.64</v>
      </c>
      <c r="Z140" s="47">
        <f t="shared" si="51"/>
        <v>0.29029887999999998</v>
      </c>
      <c r="AA140" s="1">
        <v>0.37</v>
      </c>
      <c r="AB140" s="47">
        <f t="shared" si="52"/>
        <v>0.16782903999999998</v>
      </c>
      <c r="AC140" s="1">
        <v>10.9</v>
      </c>
      <c r="AD140" s="1">
        <v>0.46</v>
      </c>
      <c r="AE140" s="6">
        <v>0.23</v>
      </c>
    </row>
    <row r="141" spans="1:31">
      <c r="A141" s="3"/>
      <c r="C141" s="47" t="str">
        <f t="shared" ref="C141:C204" si="53">IF(B141&gt;0,(B141*$B$1),"")</f>
        <v/>
      </c>
      <c r="D141" s="1">
        <v>700</v>
      </c>
      <c r="E141" s="47">
        <f t="shared" si="48"/>
        <v>317.51440000000002</v>
      </c>
      <c r="H141" s="1">
        <v>1.5</v>
      </c>
      <c r="I141" s="47">
        <f t="shared" si="49"/>
        <v>0.68038799999999999</v>
      </c>
      <c r="J141" s="32">
        <v>9.26</v>
      </c>
      <c r="K141" s="25">
        <v>6.8</v>
      </c>
      <c r="L141" s="25">
        <v>1.5</v>
      </c>
      <c r="M141" s="25">
        <v>1.52</v>
      </c>
      <c r="N141" s="25">
        <v>6.2E-2</v>
      </c>
      <c r="O141" s="33">
        <v>3.2000000000000001E-2</v>
      </c>
      <c r="P141" s="51">
        <f t="shared" si="39"/>
        <v>4.20026192</v>
      </c>
      <c r="Q141" s="51">
        <f t="shared" si="40"/>
        <v>6.8</v>
      </c>
      <c r="R141" s="51">
        <f t="shared" si="41"/>
        <v>0.68038799999999999</v>
      </c>
      <c r="S141" s="51">
        <f t="shared" si="42"/>
        <v>0.68945984000000005</v>
      </c>
      <c r="T141" s="51">
        <f t="shared" si="43"/>
        <v>2.8122703999999998E-2</v>
      </c>
      <c r="U141" s="51">
        <f t="shared" si="44"/>
        <v>1.4514944E-2</v>
      </c>
      <c r="V141" s="25">
        <v>14.8</v>
      </c>
      <c r="W141" s="47">
        <f t="shared" si="50"/>
        <v>6.7131616000000003</v>
      </c>
      <c r="X141" s="44">
        <v>62.7</v>
      </c>
      <c r="Y141" s="54">
        <v>0.64</v>
      </c>
      <c r="Z141" s="47">
        <f t="shared" si="51"/>
        <v>0.29029887999999998</v>
      </c>
      <c r="AA141" s="1">
        <v>0.37</v>
      </c>
      <c r="AB141" s="47">
        <f t="shared" si="52"/>
        <v>0.16782903999999998</v>
      </c>
      <c r="AC141" s="1">
        <v>10.3</v>
      </c>
      <c r="AD141" s="1">
        <v>0.42</v>
      </c>
      <c r="AE141" s="6">
        <v>0.22</v>
      </c>
    </row>
    <row r="142" spans="1:31">
      <c r="A142" s="3"/>
      <c r="C142" s="47" t="str">
        <f t="shared" si="53"/>
        <v/>
      </c>
      <c r="D142" s="1">
        <v>800</v>
      </c>
      <c r="E142" s="47">
        <f t="shared" si="48"/>
        <v>362.87360000000001</v>
      </c>
      <c r="H142" s="1">
        <v>1.5</v>
      </c>
      <c r="I142" s="47">
        <f t="shared" si="49"/>
        <v>0.68038799999999999</v>
      </c>
      <c r="J142" s="32">
        <v>10.23</v>
      </c>
      <c r="K142" s="25">
        <v>7.5</v>
      </c>
      <c r="L142" s="25">
        <v>1.7</v>
      </c>
      <c r="M142" s="25">
        <v>1.59</v>
      </c>
      <c r="N142" s="25">
        <v>6.3E-2</v>
      </c>
      <c r="O142" s="33">
        <v>3.4000000000000002E-2</v>
      </c>
      <c r="P142" s="51">
        <f t="shared" si="39"/>
        <v>4.6402461600000002</v>
      </c>
      <c r="Q142" s="51">
        <f t="shared" si="40"/>
        <v>7.5</v>
      </c>
      <c r="R142" s="51">
        <f t="shared" si="41"/>
        <v>0.77110639999999997</v>
      </c>
      <c r="S142" s="51">
        <f t="shared" si="42"/>
        <v>0.72121128000000001</v>
      </c>
      <c r="T142" s="51">
        <f t="shared" si="43"/>
        <v>2.8576296000000001E-2</v>
      </c>
      <c r="U142" s="51">
        <f t="shared" si="44"/>
        <v>1.5422128E-2</v>
      </c>
      <c r="V142" s="25">
        <v>16.3</v>
      </c>
      <c r="W142" s="47">
        <f t="shared" si="50"/>
        <v>7.3935496000000001</v>
      </c>
      <c r="X142" s="44">
        <v>62.7</v>
      </c>
      <c r="Y142" s="54">
        <v>0.64</v>
      </c>
      <c r="Z142" s="47">
        <f t="shared" si="51"/>
        <v>0.29029887999999998</v>
      </c>
      <c r="AA142" s="1">
        <v>0.37</v>
      </c>
      <c r="AB142" s="47">
        <f t="shared" si="52"/>
        <v>0.16782903999999998</v>
      </c>
      <c r="AC142" s="1">
        <v>9.8000000000000007</v>
      </c>
      <c r="AD142" s="1">
        <v>0.39</v>
      </c>
      <c r="AE142" s="6">
        <v>0.21</v>
      </c>
    </row>
    <row r="143" spans="1:31">
      <c r="A143" s="3"/>
      <c r="C143" s="47" t="str">
        <f t="shared" si="53"/>
        <v/>
      </c>
      <c r="D143" s="1">
        <v>900</v>
      </c>
      <c r="E143" s="47">
        <f t="shared" si="48"/>
        <v>408.2328</v>
      </c>
      <c r="H143" s="1">
        <v>1.5</v>
      </c>
      <c r="I143" s="47">
        <f t="shared" si="49"/>
        <v>0.68038799999999999</v>
      </c>
      <c r="J143" s="32">
        <v>11.17</v>
      </c>
      <c r="K143" s="25">
        <v>8.1999999999999993</v>
      </c>
      <c r="L143" s="25">
        <v>1.8</v>
      </c>
      <c r="M143" s="25">
        <v>1.66</v>
      </c>
      <c r="N143" s="25">
        <v>6.5000000000000002E-2</v>
      </c>
      <c r="O143" s="33">
        <v>3.5999999999999997E-2</v>
      </c>
      <c r="P143" s="51">
        <f t="shared" si="39"/>
        <v>5.0666226400000003</v>
      </c>
      <c r="Q143" s="51">
        <f t="shared" si="40"/>
        <v>8.1999999999999993</v>
      </c>
      <c r="R143" s="51">
        <f t="shared" si="41"/>
        <v>0.81646560000000001</v>
      </c>
      <c r="S143" s="51">
        <f t="shared" si="42"/>
        <v>0.75296271999999997</v>
      </c>
      <c r="T143" s="51">
        <f t="shared" si="43"/>
        <v>2.9483479999999999E-2</v>
      </c>
      <c r="U143" s="51">
        <f t="shared" si="44"/>
        <v>1.6329311999999999E-2</v>
      </c>
      <c r="V143" s="25">
        <v>17.8</v>
      </c>
      <c r="W143" s="47">
        <f t="shared" si="50"/>
        <v>8.0739376000000007</v>
      </c>
      <c r="X143" s="44">
        <v>62.7</v>
      </c>
      <c r="Y143" s="54">
        <v>0.64</v>
      </c>
      <c r="Z143" s="47">
        <f t="shared" si="51"/>
        <v>0.29029887999999998</v>
      </c>
      <c r="AA143" s="1">
        <v>0.37</v>
      </c>
      <c r="AB143" s="47">
        <f t="shared" si="52"/>
        <v>0.16782903999999998</v>
      </c>
      <c r="AC143" s="1">
        <v>9.3000000000000007</v>
      </c>
      <c r="AD143" s="1">
        <v>0.36</v>
      </c>
      <c r="AE143" s="6">
        <v>0.2</v>
      </c>
    </row>
    <row r="144" spans="1:31">
      <c r="A144" s="3"/>
      <c r="C144" s="47" t="str">
        <f t="shared" si="53"/>
        <v/>
      </c>
      <c r="D144" s="1">
        <v>500</v>
      </c>
      <c r="E144" s="47">
        <f t="shared" si="48"/>
        <v>226.79599999999999</v>
      </c>
      <c r="H144" s="1">
        <v>2</v>
      </c>
      <c r="I144" s="47">
        <f t="shared" si="49"/>
        <v>0.90718399999999999</v>
      </c>
      <c r="J144" s="32">
        <v>7.66</v>
      </c>
      <c r="K144" s="25">
        <v>5.3</v>
      </c>
      <c r="L144" s="25">
        <v>1.6</v>
      </c>
      <c r="M144" s="25">
        <v>1.57</v>
      </c>
      <c r="N144" s="25">
        <v>7.2999999999999995E-2</v>
      </c>
      <c r="O144" s="33">
        <v>3.5000000000000003E-2</v>
      </c>
      <c r="P144" s="51">
        <f t="shared" si="39"/>
        <v>3.4745147200000002</v>
      </c>
      <c r="Q144" s="51">
        <f t="shared" si="40"/>
        <v>5.3</v>
      </c>
      <c r="R144" s="51">
        <f t="shared" si="41"/>
        <v>0.72574720000000004</v>
      </c>
      <c r="S144" s="51">
        <f t="shared" si="42"/>
        <v>0.71213944000000007</v>
      </c>
      <c r="T144" s="51">
        <f t="shared" si="43"/>
        <v>3.3112216E-2</v>
      </c>
      <c r="U144" s="51">
        <f t="shared" si="44"/>
        <v>1.5875720000000003E-2</v>
      </c>
      <c r="V144" s="25">
        <v>11.6</v>
      </c>
      <c r="W144" s="47">
        <f t="shared" si="50"/>
        <v>5.2616671999999998</v>
      </c>
      <c r="X144" s="44">
        <v>66.3</v>
      </c>
      <c r="Y144" s="54">
        <v>0.69</v>
      </c>
      <c r="Z144" s="47">
        <f t="shared" si="51"/>
        <v>0.31297847999999995</v>
      </c>
      <c r="AA144" s="1">
        <v>0.42</v>
      </c>
      <c r="AB144" s="47">
        <f t="shared" si="52"/>
        <v>0.19050863999999998</v>
      </c>
      <c r="AC144" s="1">
        <v>13.6</v>
      </c>
      <c r="AD144" s="1">
        <v>0.63</v>
      </c>
      <c r="AE144" s="6">
        <v>0.3</v>
      </c>
    </row>
    <row r="145" spans="1:31">
      <c r="A145" s="3"/>
      <c r="C145" s="47" t="str">
        <f t="shared" si="53"/>
        <v/>
      </c>
      <c r="D145" s="1">
        <v>600</v>
      </c>
      <c r="E145" s="47">
        <f t="shared" si="48"/>
        <v>272.15519999999998</v>
      </c>
      <c r="H145" s="1">
        <v>2</v>
      </c>
      <c r="I145" s="47">
        <f t="shared" si="49"/>
        <v>0.90718399999999999</v>
      </c>
      <c r="J145" s="32">
        <v>8.8000000000000007</v>
      </c>
      <c r="K145" s="25">
        <v>6.1</v>
      </c>
      <c r="L145" s="25">
        <v>1.9</v>
      </c>
      <c r="M145" s="25">
        <v>1.64</v>
      </c>
      <c r="N145" s="25">
        <v>7.3999999999999996E-2</v>
      </c>
      <c r="O145" s="33">
        <v>3.5999999999999997E-2</v>
      </c>
      <c r="P145" s="51">
        <f t="shared" si="39"/>
        <v>3.9916096000000003</v>
      </c>
      <c r="Q145" s="51">
        <f t="shared" si="40"/>
        <v>6.1</v>
      </c>
      <c r="R145" s="51">
        <f t="shared" si="41"/>
        <v>0.86182479999999995</v>
      </c>
      <c r="S145" s="51">
        <f t="shared" si="42"/>
        <v>0.74389087999999992</v>
      </c>
      <c r="T145" s="51">
        <f t="shared" si="43"/>
        <v>3.3565807999999996E-2</v>
      </c>
      <c r="U145" s="51">
        <f t="shared" si="44"/>
        <v>1.6329311999999999E-2</v>
      </c>
      <c r="V145" s="25">
        <v>13.3</v>
      </c>
      <c r="W145" s="47">
        <f t="shared" si="50"/>
        <v>6.0327736000000005</v>
      </c>
      <c r="X145" s="44">
        <v>66.400000000000006</v>
      </c>
      <c r="Y145" s="54">
        <v>0.69</v>
      </c>
      <c r="Z145" s="47">
        <f t="shared" si="51"/>
        <v>0.31297847999999995</v>
      </c>
      <c r="AA145" s="1">
        <v>0.42</v>
      </c>
      <c r="AB145" s="47">
        <f t="shared" si="52"/>
        <v>0.19050863999999998</v>
      </c>
      <c r="AC145" s="1">
        <v>12.4</v>
      </c>
      <c r="AD145" s="1">
        <v>0.56000000000000005</v>
      </c>
      <c r="AE145" s="6">
        <v>0.27</v>
      </c>
    </row>
    <row r="146" spans="1:31">
      <c r="A146" s="3"/>
      <c r="C146" s="47" t="str">
        <f t="shared" si="53"/>
        <v/>
      </c>
      <c r="D146" s="1">
        <v>700</v>
      </c>
      <c r="E146" s="47">
        <f t="shared" si="48"/>
        <v>317.51440000000002</v>
      </c>
      <c r="H146" s="1">
        <v>2</v>
      </c>
      <c r="I146" s="47">
        <f t="shared" si="49"/>
        <v>0.90718399999999999</v>
      </c>
      <c r="J146" s="32">
        <v>9.84</v>
      </c>
      <c r="K146" s="25">
        <v>6.8</v>
      </c>
      <c r="L146" s="25">
        <v>2.1</v>
      </c>
      <c r="M146" s="25">
        <v>1.71</v>
      </c>
      <c r="N146" s="25">
        <v>7.4999999999999997E-2</v>
      </c>
      <c r="O146" s="33">
        <v>3.7999999999999999E-2</v>
      </c>
      <c r="P146" s="51">
        <f t="shared" si="39"/>
        <v>4.4633452799999995</v>
      </c>
      <c r="Q146" s="51">
        <f t="shared" si="40"/>
        <v>6.8</v>
      </c>
      <c r="R146" s="51">
        <f t="shared" si="41"/>
        <v>0.95254320000000003</v>
      </c>
      <c r="S146" s="51">
        <f t="shared" si="42"/>
        <v>0.77564232</v>
      </c>
      <c r="T146" s="51">
        <f t="shared" si="43"/>
        <v>3.4019399999999998E-2</v>
      </c>
      <c r="U146" s="51">
        <f t="shared" si="44"/>
        <v>1.7236496E-2</v>
      </c>
      <c r="V146" s="25">
        <v>14.9</v>
      </c>
      <c r="W146" s="47">
        <f t="shared" si="50"/>
        <v>6.7585208000000003</v>
      </c>
      <c r="X146" s="44">
        <v>66.2</v>
      </c>
      <c r="Y146" s="54">
        <v>0.69</v>
      </c>
      <c r="Z146" s="47">
        <f t="shared" si="51"/>
        <v>0.31297847999999995</v>
      </c>
      <c r="AA146" s="1">
        <v>0.42</v>
      </c>
      <c r="AB146" s="47">
        <f t="shared" si="52"/>
        <v>0.19050863999999998</v>
      </c>
      <c r="AC146" s="1">
        <v>11.5</v>
      </c>
      <c r="AD146" s="1">
        <v>0.5</v>
      </c>
      <c r="AE146" s="6">
        <v>0.25</v>
      </c>
    </row>
    <row r="147" spans="1:31">
      <c r="A147" s="3"/>
      <c r="C147" s="47" t="str">
        <f t="shared" si="53"/>
        <v/>
      </c>
      <c r="D147" s="1">
        <v>800</v>
      </c>
      <c r="E147" s="47">
        <f t="shared" si="48"/>
        <v>362.87360000000001</v>
      </c>
      <c r="H147" s="1">
        <v>2</v>
      </c>
      <c r="I147" s="47">
        <f t="shared" si="49"/>
        <v>0.90718399999999999</v>
      </c>
      <c r="J147" s="32">
        <v>10.87</v>
      </c>
      <c r="K147" s="25">
        <v>7.5</v>
      </c>
      <c r="L147" s="25">
        <v>2.2999999999999998</v>
      </c>
      <c r="M147" s="25">
        <v>1.78</v>
      </c>
      <c r="N147" s="25">
        <v>7.5999999999999998E-2</v>
      </c>
      <c r="O147" s="33">
        <v>3.9E-2</v>
      </c>
      <c r="P147" s="51">
        <f t="shared" si="39"/>
        <v>4.9305450399999993</v>
      </c>
      <c r="Q147" s="51">
        <f t="shared" si="40"/>
        <v>7.5</v>
      </c>
      <c r="R147" s="51">
        <f t="shared" si="41"/>
        <v>1.0432615999999999</v>
      </c>
      <c r="S147" s="51">
        <f t="shared" si="42"/>
        <v>0.80739375999999996</v>
      </c>
      <c r="T147" s="51">
        <f t="shared" si="43"/>
        <v>3.4472992000000001E-2</v>
      </c>
      <c r="U147" s="51">
        <f t="shared" si="44"/>
        <v>1.7690088E-2</v>
      </c>
      <c r="V147" s="25">
        <v>16.399999999999999</v>
      </c>
      <c r="W147" s="47">
        <f t="shared" si="50"/>
        <v>7.4389087999999992</v>
      </c>
      <c r="X147" s="44">
        <v>66.099999999999994</v>
      </c>
      <c r="Y147" s="54">
        <v>0.69</v>
      </c>
      <c r="Z147" s="47">
        <f t="shared" si="51"/>
        <v>0.31297847999999995</v>
      </c>
      <c r="AA147" s="1">
        <v>0.42</v>
      </c>
      <c r="AB147" s="47">
        <f t="shared" si="52"/>
        <v>0.19050863999999998</v>
      </c>
      <c r="AC147" s="1">
        <v>10.8</v>
      </c>
      <c r="AD147" s="1">
        <v>0.46</v>
      </c>
      <c r="AE147" s="6">
        <v>0.24</v>
      </c>
    </row>
    <row r="148" spans="1:31">
      <c r="A148" s="3"/>
      <c r="C148" s="47" t="str">
        <f t="shared" si="53"/>
        <v/>
      </c>
      <c r="D148" s="1">
        <v>900</v>
      </c>
      <c r="E148" s="47">
        <f t="shared" si="48"/>
        <v>408.2328</v>
      </c>
      <c r="H148" s="1">
        <v>2</v>
      </c>
      <c r="I148" s="47">
        <f t="shared" si="49"/>
        <v>0.90718399999999999</v>
      </c>
      <c r="J148" s="32">
        <v>11.88</v>
      </c>
      <c r="K148" s="25">
        <v>8.1999999999999993</v>
      </c>
      <c r="L148" s="25">
        <v>2.6</v>
      </c>
      <c r="M148" s="25">
        <v>1.84</v>
      </c>
      <c r="N148" s="25">
        <v>7.6999999999999999E-2</v>
      </c>
      <c r="O148" s="33">
        <v>4.1000000000000002E-2</v>
      </c>
      <c r="P148" s="51">
        <f t="shared" si="39"/>
        <v>5.3886729600000001</v>
      </c>
      <c r="Q148" s="51">
        <f t="shared" si="40"/>
        <v>8.1999999999999993</v>
      </c>
      <c r="R148" s="51">
        <f t="shared" si="41"/>
        <v>1.1793392</v>
      </c>
      <c r="S148" s="51">
        <f t="shared" si="42"/>
        <v>0.83460928000000001</v>
      </c>
      <c r="T148" s="51">
        <f t="shared" si="43"/>
        <v>3.4926583999999997E-2</v>
      </c>
      <c r="U148" s="51">
        <f t="shared" si="44"/>
        <v>1.8597272000000001E-2</v>
      </c>
      <c r="V148" s="25">
        <v>18</v>
      </c>
      <c r="W148" s="47">
        <f t="shared" si="50"/>
        <v>8.1646560000000008</v>
      </c>
      <c r="X148" s="44">
        <v>66.099999999999994</v>
      </c>
      <c r="Y148" s="54">
        <v>0.69</v>
      </c>
      <c r="Z148" s="47">
        <f t="shared" si="51"/>
        <v>0.31297847999999995</v>
      </c>
      <c r="AA148" s="1">
        <v>0.42</v>
      </c>
      <c r="AB148" s="47">
        <f t="shared" si="52"/>
        <v>0.19050863999999998</v>
      </c>
      <c r="AC148" s="1">
        <v>10.3</v>
      </c>
      <c r="AD148" s="1">
        <v>0.43</v>
      </c>
      <c r="AE148" s="6">
        <v>0.23</v>
      </c>
    </row>
    <row r="149" spans="1:31">
      <c r="A149" s="3"/>
      <c r="C149" s="47" t="str">
        <f t="shared" si="53"/>
        <v/>
      </c>
      <c r="D149" s="1">
        <v>500</v>
      </c>
      <c r="E149" s="47">
        <f t="shared" si="48"/>
        <v>226.79599999999999</v>
      </c>
      <c r="H149" s="1">
        <v>2.5</v>
      </c>
      <c r="I149" s="47">
        <f t="shared" si="49"/>
        <v>1.13398</v>
      </c>
      <c r="J149" s="32">
        <v>8.09</v>
      </c>
      <c r="K149" s="25">
        <v>5.3</v>
      </c>
      <c r="L149" s="25">
        <v>2</v>
      </c>
      <c r="M149" s="25">
        <v>1.78</v>
      </c>
      <c r="N149" s="25">
        <v>8.6999999999999994E-2</v>
      </c>
      <c r="O149" s="33">
        <v>4.1000000000000002E-2</v>
      </c>
      <c r="P149" s="51">
        <f t="shared" si="39"/>
        <v>3.6695592800000001</v>
      </c>
      <c r="Q149" s="51">
        <f t="shared" si="40"/>
        <v>5.3</v>
      </c>
      <c r="R149" s="51">
        <f t="shared" si="41"/>
        <v>0.90718399999999999</v>
      </c>
      <c r="S149" s="51">
        <f t="shared" si="42"/>
        <v>0.80739375999999996</v>
      </c>
      <c r="T149" s="51">
        <f t="shared" si="43"/>
        <v>3.9462503999999995E-2</v>
      </c>
      <c r="U149" s="51">
        <f t="shared" si="44"/>
        <v>1.8597272000000001E-2</v>
      </c>
      <c r="V149" s="25">
        <v>11.5</v>
      </c>
      <c r="W149" s="47">
        <f t="shared" si="50"/>
        <v>5.2163079999999997</v>
      </c>
      <c r="X149" s="44">
        <v>70.099999999999994</v>
      </c>
      <c r="Y149" s="54">
        <v>0.74</v>
      </c>
      <c r="Z149" s="47">
        <f t="shared" si="51"/>
        <v>0.33565807999999997</v>
      </c>
      <c r="AA149" s="1">
        <v>0.47</v>
      </c>
      <c r="AB149" s="47">
        <f t="shared" si="52"/>
        <v>0.21318823999999997</v>
      </c>
      <c r="AC149" s="1">
        <v>15.4</v>
      </c>
      <c r="AD149" s="1">
        <v>0.76</v>
      </c>
      <c r="AE149" s="6">
        <v>0.35</v>
      </c>
    </row>
    <row r="150" spans="1:31">
      <c r="A150" s="3"/>
      <c r="C150" s="47" t="str">
        <f t="shared" si="53"/>
        <v/>
      </c>
      <c r="D150" s="1">
        <v>600</v>
      </c>
      <c r="E150" s="47">
        <f t="shared" si="48"/>
        <v>272.15519999999998</v>
      </c>
      <c r="H150" s="1">
        <v>2.5</v>
      </c>
      <c r="I150" s="47">
        <f t="shared" si="49"/>
        <v>1.13398</v>
      </c>
      <c r="J150" s="32">
        <v>9.2899999999999991</v>
      </c>
      <c r="K150" s="25">
        <v>6.1</v>
      </c>
      <c r="L150" s="25">
        <v>2.4</v>
      </c>
      <c r="M150" s="25">
        <v>1.84</v>
      </c>
      <c r="N150" s="25">
        <v>8.6999999999999994E-2</v>
      </c>
      <c r="O150" s="33">
        <v>4.2000000000000003E-2</v>
      </c>
      <c r="P150" s="51">
        <f t="shared" si="39"/>
        <v>4.2138696799999993</v>
      </c>
      <c r="Q150" s="51">
        <f t="shared" si="40"/>
        <v>6.1</v>
      </c>
      <c r="R150" s="51">
        <f t="shared" si="41"/>
        <v>1.0886207999999999</v>
      </c>
      <c r="S150" s="51">
        <f t="shared" si="42"/>
        <v>0.83460928000000001</v>
      </c>
      <c r="T150" s="51">
        <f t="shared" si="43"/>
        <v>3.9462503999999995E-2</v>
      </c>
      <c r="U150" s="51">
        <f t="shared" si="44"/>
        <v>1.9050864000000001E-2</v>
      </c>
      <c r="V150" s="25">
        <v>13.2</v>
      </c>
      <c r="W150" s="47">
        <f t="shared" si="50"/>
        <v>5.9874143999999996</v>
      </c>
      <c r="X150" s="44">
        <v>70.2</v>
      </c>
      <c r="Y150" s="54">
        <v>0.75</v>
      </c>
      <c r="Z150" s="47">
        <f t="shared" si="51"/>
        <v>0.340194</v>
      </c>
      <c r="AA150" s="1">
        <v>0.47</v>
      </c>
      <c r="AB150" s="47">
        <f t="shared" si="52"/>
        <v>0.21318823999999997</v>
      </c>
      <c r="AC150" s="1">
        <v>13.9</v>
      </c>
      <c r="AD150" s="1">
        <v>0.66</v>
      </c>
      <c r="AE150" s="6">
        <v>0.31</v>
      </c>
    </row>
    <row r="151" spans="1:31">
      <c r="A151" s="3"/>
      <c r="C151" s="47" t="str">
        <f t="shared" si="53"/>
        <v/>
      </c>
      <c r="D151" s="1">
        <v>700</v>
      </c>
      <c r="E151" s="47">
        <f t="shared" si="48"/>
        <v>317.51440000000002</v>
      </c>
      <c r="H151" s="1">
        <v>2.5</v>
      </c>
      <c r="I151" s="47">
        <f t="shared" si="49"/>
        <v>1.13398</v>
      </c>
      <c r="J151" s="32">
        <v>10.4</v>
      </c>
      <c r="K151" s="25">
        <v>6.8</v>
      </c>
      <c r="L151" s="25">
        <v>2.7</v>
      </c>
      <c r="M151" s="25">
        <v>1.9</v>
      </c>
      <c r="N151" s="25">
        <v>8.7999999999999995E-2</v>
      </c>
      <c r="O151" s="33">
        <v>4.2999999999999997E-2</v>
      </c>
      <c r="P151" s="51">
        <f t="shared" si="39"/>
        <v>4.7173568000000001</v>
      </c>
      <c r="Q151" s="51">
        <f t="shared" si="40"/>
        <v>6.8</v>
      </c>
      <c r="R151" s="51">
        <f t="shared" si="41"/>
        <v>1.2246984000000001</v>
      </c>
      <c r="S151" s="51">
        <f t="shared" si="42"/>
        <v>0.86182479999999995</v>
      </c>
      <c r="T151" s="51">
        <f t="shared" si="43"/>
        <v>3.9916095999999998E-2</v>
      </c>
      <c r="U151" s="51">
        <f t="shared" si="44"/>
        <v>1.9504456E-2</v>
      </c>
      <c r="V151" s="25">
        <v>14.9</v>
      </c>
      <c r="W151" s="47">
        <f t="shared" si="50"/>
        <v>6.7585208000000003</v>
      </c>
      <c r="X151" s="44">
        <v>70</v>
      </c>
      <c r="Y151" s="54">
        <v>0.74</v>
      </c>
      <c r="Z151" s="47">
        <f t="shared" si="51"/>
        <v>0.33565807999999997</v>
      </c>
      <c r="AA151" s="1">
        <v>0.47</v>
      </c>
      <c r="AB151" s="47">
        <f t="shared" si="52"/>
        <v>0.21318823999999997</v>
      </c>
      <c r="AC151" s="1">
        <v>12.8</v>
      </c>
      <c r="AD151" s="1">
        <v>0.59</v>
      </c>
      <c r="AE151" s="6">
        <v>0.28999999999999998</v>
      </c>
    </row>
    <row r="152" spans="1:31">
      <c r="A152" s="3"/>
      <c r="C152" s="47" t="str">
        <f t="shared" si="53"/>
        <v/>
      </c>
      <c r="D152" s="1">
        <v>800</v>
      </c>
      <c r="E152" s="47">
        <f t="shared" si="48"/>
        <v>362.87360000000001</v>
      </c>
      <c r="H152" s="1">
        <v>2.5</v>
      </c>
      <c r="I152" s="47">
        <f t="shared" si="49"/>
        <v>1.13398</v>
      </c>
      <c r="J152" s="32">
        <v>11.48</v>
      </c>
      <c r="K152" s="25">
        <v>7.5</v>
      </c>
      <c r="L152" s="25">
        <v>2.9</v>
      </c>
      <c r="M152" s="25">
        <v>1.96</v>
      </c>
      <c r="N152" s="25">
        <v>8.7999999999999995E-2</v>
      </c>
      <c r="O152" s="33">
        <v>4.3999999999999997E-2</v>
      </c>
      <c r="P152" s="51">
        <f t="shared" si="39"/>
        <v>5.2072361599999999</v>
      </c>
      <c r="Q152" s="51">
        <f t="shared" si="40"/>
        <v>7.5</v>
      </c>
      <c r="R152" s="51">
        <f t="shared" si="41"/>
        <v>1.3154167999999999</v>
      </c>
      <c r="S152" s="51">
        <f t="shared" si="42"/>
        <v>0.88904032</v>
      </c>
      <c r="T152" s="51">
        <f t="shared" si="43"/>
        <v>3.9916095999999998E-2</v>
      </c>
      <c r="U152" s="51">
        <f t="shared" si="44"/>
        <v>1.9958047999999999E-2</v>
      </c>
      <c r="V152" s="25">
        <v>16.399999999999999</v>
      </c>
      <c r="W152" s="47">
        <f t="shared" si="50"/>
        <v>7.4389087999999992</v>
      </c>
      <c r="X152" s="44">
        <v>69.900000000000006</v>
      </c>
      <c r="Y152" s="54">
        <v>0.74</v>
      </c>
      <c r="Z152" s="47">
        <f t="shared" si="51"/>
        <v>0.33565807999999997</v>
      </c>
      <c r="AA152" s="1">
        <v>0.47</v>
      </c>
      <c r="AB152" s="47">
        <f t="shared" si="52"/>
        <v>0.21318823999999997</v>
      </c>
      <c r="AC152" s="1">
        <v>11.9</v>
      </c>
      <c r="AD152" s="1">
        <v>0.54</v>
      </c>
      <c r="AE152" s="6">
        <v>0.27</v>
      </c>
    </row>
    <row r="153" spans="1:31">
      <c r="A153" s="3"/>
      <c r="C153" s="47" t="str">
        <f t="shared" si="53"/>
        <v/>
      </c>
      <c r="D153" s="1">
        <v>900</v>
      </c>
      <c r="E153" s="47">
        <f t="shared" si="48"/>
        <v>408.2328</v>
      </c>
      <c r="H153" s="1">
        <v>2.5</v>
      </c>
      <c r="I153" s="47">
        <f t="shared" si="49"/>
        <v>1.13398</v>
      </c>
      <c r="J153" s="32">
        <v>12.55</v>
      </c>
      <c r="K153" s="25">
        <v>8.1999999999999993</v>
      </c>
      <c r="L153" s="25">
        <v>3.2</v>
      </c>
      <c r="M153" s="25">
        <v>2.02</v>
      </c>
      <c r="N153" s="25">
        <v>8.8999999999999996E-2</v>
      </c>
      <c r="O153" s="33">
        <v>4.4999999999999998E-2</v>
      </c>
      <c r="P153" s="51">
        <f t="shared" si="39"/>
        <v>5.6925796000000002</v>
      </c>
      <c r="Q153" s="51">
        <f t="shared" si="40"/>
        <v>8.1999999999999993</v>
      </c>
      <c r="R153" s="51">
        <f t="shared" si="41"/>
        <v>1.4514944000000001</v>
      </c>
      <c r="S153" s="51">
        <f t="shared" si="42"/>
        <v>0.91625584000000004</v>
      </c>
      <c r="T153" s="51">
        <f t="shared" si="43"/>
        <v>4.0369688000000001E-2</v>
      </c>
      <c r="U153" s="51">
        <f t="shared" si="44"/>
        <v>2.0411639999999998E-2</v>
      </c>
      <c r="V153" s="25">
        <v>17.899999999999999</v>
      </c>
      <c r="W153" s="47">
        <f t="shared" si="50"/>
        <v>8.119296799999999</v>
      </c>
      <c r="X153" s="44">
        <v>69.900000000000006</v>
      </c>
      <c r="Y153" s="54">
        <v>0.74</v>
      </c>
      <c r="Z153" s="47">
        <f t="shared" si="51"/>
        <v>0.33565807999999997</v>
      </c>
      <c r="AA153" s="1">
        <v>0.47</v>
      </c>
      <c r="AB153" s="47">
        <f t="shared" si="52"/>
        <v>0.21318823999999997</v>
      </c>
      <c r="AC153" s="1">
        <v>11.2</v>
      </c>
      <c r="AD153" s="1">
        <v>0.49</v>
      </c>
      <c r="AE153" s="6">
        <v>0.25</v>
      </c>
    </row>
    <row r="154" spans="1:31">
      <c r="A154" s="3"/>
      <c r="C154" s="47" t="str">
        <f t="shared" si="53"/>
        <v/>
      </c>
      <c r="D154" s="1">
        <v>500</v>
      </c>
      <c r="E154" s="47">
        <f t="shared" si="48"/>
        <v>226.79599999999999</v>
      </c>
      <c r="H154" s="1">
        <v>3</v>
      </c>
      <c r="I154" s="47">
        <f t="shared" si="49"/>
        <v>1.360776</v>
      </c>
      <c r="J154" s="32">
        <v>8.49</v>
      </c>
      <c r="K154" s="25">
        <v>5.3</v>
      </c>
      <c r="L154" s="25">
        <v>2.5</v>
      </c>
      <c r="M154" s="25">
        <v>1.99</v>
      </c>
      <c r="N154" s="25">
        <v>0.10100000000000001</v>
      </c>
      <c r="O154" s="33">
        <v>4.5999999999999999E-2</v>
      </c>
      <c r="P154" s="51">
        <f t="shared" si="39"/>
        <v>3.8509960800000003</v>
      </c>
      <c r="Q154" s="51">
        <f t="shared" si="40"/>
        <v>5.3</v>
      </c>
      <c r="R154" s="51">
        <f t="shared" si="41"/>
        <v>1.13398</v>
      </c>
      <c r="S154" s="51">
        <f t="shared" si="42"/>
        <v>0.90264807999999996</v>
      </c>
      <c r="T154" s="51">
        <f t="shared" si="43"/>
        <v>4.5812792000000005E-2</v>
      </c>
      <c r="U154" s="51">
        <f t="shared" si="44"/>
        <v>2.0865232000000001E-2</v>
      </c>
      <c r="V154" s="25">
        <v>11.4</v>
      </c>
      <c r="W154" s="47">
        <f t="shared" si="50"/>
        <v>5.1709487999999997</v>
      </c>
      <c r="X154" s="44">
        <v>74.3</v>
      </c>
      <c r="Y154" s="54">
        <v>0.8</v>
      </c>
      <c r="Z154" s="47">
        <f t="shared" si="51"/>
        <v>0.36287360000000002</v>
      </c>
      <c r="AA154" s="1">
        <v>0.52</v>
      </c>
      <c r="AB154" s="47">
        <f t="shared" si="52"/>
        <v>0.23586784</v>
      </c>
      <c r="AC154" s="1">
        <v>17.399999999999999</v>
      </c>
      <c r="AD154" s="1">
        <v>0.89</v>
      </c>
      <c r="AE154" s="6">
        <v>0.4</v>
      </c>
    </row>
    <row r="155" spans="1:31">
      <c r="A155" s="3"/>
      <c r="C155" s="47" t="str">
        <f t="shared" si="53"/>
        <v/>
      </c>
      <c r="D155" s="1">
        <v>600</v>
      </c>
      <c r="E155" s="47">
        <f t="shared" si="48"/>
        <v>272.15519999999998</v>
      </c>
      <c r="H155" s="1">
        <v>3</v>
      </c>
      <c r="I155" s="47">
        <f t="shared" si="49"/>
        <v>1.360776</v>
      </c>
      <c r="J155" s="32">
        <v>9.75</v>
      </c>
      <c r="K155" s="25">
        <v>6.1</v>
      </c>
      <c r="L155" s="25">
        <v>2.9</v>
      </c>
      <c r="M155" s="25">
        <v>2.04</v>
      </c>
      <c r="N155" s="25">
        <v>0.10100000000000001</v>
      </c>
      <c r="O155" s="33">
        <v>4.7E-2</v>
      </c>
      <c r="P155" s="51">
        <f t="shared" si="39"/>
        <v>4.4225219999999998</v>
      </c>
      <c r="Q155" s="51">
        <f t="shared" si="40"/>
        <v>6.1</v>
      </c>
      <c r="R155" s="51">
        <f t="shared" si="41"/>
        <v>1.3154167999999999</v>
      </c>
      <c r="S155" s="51">
        <f t="shared" si="42"/>
        <v>0.92532767999999999</v>
      </c>
      <c r="T155" s="51">
        <f t="shared" si="43"/>
        <v>4.5812792000000005E-2</v>
      </c>
      <c r="U155" s="51">
        <f t="shared" si="44"/>
        <v>2.1318824E-2</v>
      </c>
      <c r="V155" s="25">
        <v>13.1</v>
      </c>
      <c r="W155" s="47">
        <f t="shared" si="50"/>
        <v>5.9420551999999995</v>
      </c>
      <c r="X155" s="44">
        <v>74.5</v>
      </c>
      <c r="Y155" s="54">
        <v>0.81</v>
      </c>
      <c r="Z155" s="47">
        <f t="shared" si="51"/>
        <v>0.36740952000000004</v>
      </c>
      <c r="AA155" s="1">
        <v>0.52</v>
      </c>
      <c r="AB155" s="47">
        <f t="shared" si="52"/>
        <v>0.23586784</v>
      </c>
      <c r="AC155" s="1">
        <v>15.6</v>
      </c>
      <c r="AD155" s="1">
        <v>0.77</v>
      </c>
      <c r="AE155" s="6">
        <v>0.36</v>
      </c>
    </row>
    <row r="156" spans="1:31">
      <c r="A156" s="3"/>
      <c r="C156" s="47" t="str">
        <f t="shared" si="53"/>
        <v/>
      </c>
      <c r="D156" s="1">
        <v>700</v>
      </c>
      <c r="E156" s="47">
        <f t="shared" si="48"/>
        <v>317.51440000000002</v>
      </c>
      <c r="H156" s="1">
        <v>3</v>
      </c>
      <c r="I156" s="47">
        <f t="shared" si="49"/>
        <v>1.360776</v>
      </c>
      <c r="J156" s="32">
        <v>10.92</v>
      </c>
      <c r="K156" s="25">
        <v>6.8</v>
      </c>
      <c r="L156" s="25">
        <v>3.2</v>
      </c>
      <c r="M156" s="25">
        <v>2.09</v>
      </c>
      <c r="N156" s="25">
        <v>0.10100000000000001</v>
      </c>
      <c r="O156" s="33">
        <v>4.8000000000000001E-2</v>
      </c>
      <c r="P156" s="51">
        <f t="shared" ref="P156:P219" si="54">J156*$B$1</f>
        <v>4.9532246400000002</v>
      </c>
      <c r="Q156" s="51">
        <f t="shared" ref="Q156:Q219" si="55">K156</f>
        <v>6.8</v>
      </c>
      <c r="R156" s="51">
        <f t="shared" ref="R156:R219" si="56">L156*$B$1</f>
        <v>1.4514944000000001</v>
      </c>
      <c r="S156" s="51">
        <f t="shared" ref="S156:S219" si="57">M156*$B$1</f>
        <v>0.9480072799999999</v>
      </c>
      <c r="T156" s="51">
        <f t="shared" ref="T156:T219" si="58">N156*$B$1</f>
        <v>4.5812792000000005E-2</v>
      </c>
      <c r="U156" s="51">
        <f t="shared" ref="U156:U219" si="59">O156*$B$1</f>
        <v>2.1772415999999999E-2</v>
      </c>
      <c r="V156" s="25">
        <v>14.7</v>
      </c>
      <c r="W156" s="47">
        <f t="shared" si="50"/>
        <v>6.6678023999999994</v>
      </c>
      <c r="X156" s="44">
        <v>74.3</v>
      </c>
      <c r="Y156" s="54">
        <v>0.8</v>
      </c>
      <c r="Z156" s="47">
        <f t="shared" si="51"/>
        <v>0.36287360000000002</v>
      </c>
      <c r="AA156" s="1">
        <v>0.52</v>
      </c>
      <c r="AB156" s="47">
        <f t="shared" si="52"/>
        <v>0.23586784</v>
      </c>
      <c r="AC156" s="1">
        <v>14.2</v>
      </c>
      <c r="AD156" s="1">
        <v>0.68</v>
      </c>
      <c r="AE156" s="6">
        <v>0.33</v>
      </c>
    </row>
    <row r="157" spans="1:31">
      <c r="A157" s="3"/>
      <c r="C157" s="47" t="str">
        <f t="shared" si="53"/>
        <v/>
      </c>
      <c r="D157" s="1">
        <v>800</v>
      </c>
      <c r="E157" s="47">
        <f t="shared" si="48"/>
        <v>362.87360000000001</v>
      </c>
      <c r="H157" s="1">
        <v>3</v>
      </c>
      <c r="I157" s="47">
        <f t="shared" si="49"/>
        <v>1.360776</v>
      </c>
      <c r="J157" s="32">
        <v>12.06</v>
      </c>
      <c r="K157" s="25">
        <v>7.5</v>
      </c>
      <c r="L157" s="25">
        <v>3.6</v>
      </c>
      <c r="M157" s="25">
        <v>2.14</v>
      </c>
      <c r="N157" s="25">
        <v>0.1</v>
      </c>
      <c r="O157" s="33">
        <v>4.9000000000000002E-2</v>
      </c>
      <c r="P157" s="51">
        <f t="shared" si="54"/>
        <v>5.4703195200000003</v>
      </c>
      <c r="Q157" s="51">
        <f t="shared" si="55"/>
        <v>7.5</v>
      </c>
      <c r="R157" s="51">
        <f t="shared" si="56"/>
        <v>1.6329312</v>
      </c>
      <c r="S157" s="51">
        <f t="shared" si="57"/>
        <v>0.97068688000000003</v>
      </c>
      <c r="T157" s="51">
        <f t="shared" si="58"/>
        <v>4.5359200000000002E-2</v>
      </c>
      <c r="U157" s="51">
        <f t="shared" si="59"/>
        <v>2.2226008000000002E-2</v>
      </c>
      <c r="V157" s="25">
        <v>16.3</v>
      </c>
      <c r="W157" s="47">
        <f t="shared" si="50"/>
        <v>7.3935496000000001</v>
      </c>
      <c r="X157" s="44">
        <v>74.2</v>
      </c>
      <c r="Y157" s="54">
        <v>0.8</v>
      </c>
      <c r="Z157" s="47">
        <f t="shared" si="51"/>
        <v>0.36287360000000002</v>
      </c>
      <c r="AA157" s="1">
        <v>0.52</v>
      </c>
      <c r="AB157" s="47">
        <f t="shared" si="52"/>
        <v>0.23586784</v>
      </c>
      <c r="AC157" s="1">
        <v>13.2</v>
      </c>
      <c r="AD157" s="1">
        <v>0.62</v>
      </c>
      <c r="AE157" s="6">
        <v>0.3</v>
      </c>
    </row>
    <row r="158" spans="1:31">
      <c r="A158" s="13"/>
      <c r="B158" s="8"/>
      <c r="C158" s="47" t="str">
        <f t="shared" si="53"/>
        <v/>
      </c>
      <c r="D158" s="8">
        <v>900</v>
      </c>
      <c r="E158" s="47">
        <f t="shared" si="48"/>
        <v>408.2328</v>
      </c>
      <c r="F158" s="8"/>
      <c r="G158" s="8"/>
      <c r="H158" s="1">
        <v>3</v>
      </c>
      <c r="I158" s="47">
        <f t="shared" si="49"/>
        <v>1.360776</v>
      </c>
      <c r="J158" s="34">
        <v>13.18</v>
      </c>
      <c r="K158" s="35">
        <v>8.1999999999999993</v>
      </c>
      <c r="L158" s="35">
        <v>3.9</v>
      </c>
      <c r="M158" s="35">
        <v>2.19</v>
      </c>
      <c r="N158" s="35">
        <v>0.1</v>
      </c>
      <c r="O158" s="36">
        <v>0.05</v>
      </c>
      <c r="P158" s="51">
        <f t="shared" si="54"/>
        <v>5.9783425599999998</v>
      </c>
      <c r="Q158" s="51">
        <f t="shared" si="55"/>
        <v>8.1999999999999993</v>
      </c>
      <c r="R158" s="51">
        <f t="shared" si="56"/>
        <v>1.7690087999999999</v>
      </c>
      <c r="S158" s="51">
        <f t="shared" si="57"/>
        <v>0.99336647999999994</v>
      </c>
      <c r="T158" s="51">
        <f t="shared" si="58"/>
        <v>4.5359200000000002E-2</v>
      </c>
      <c r="U158" s="51">
        <f t="shared" si="59"/>
        <v>2.2679600000000001E-2</v>
      </c>
      <c r="V158" s="35">
        <v>17.8</v>
      </c>
      <c r="W158" s="47">
        <f t="shared" si="50"/>
        <v>8.0739376000000007</v>
      </c>
      <c r="X158" s="46">
        <v>74.2</v>
      </c>
      <c r="Y158" s="56">
        <v>0.8</v>
      </c>
      <c r="Z158" s="47">
        <f t="shared" si="51"/>
        <v>0.36287360000000002</v>
      </c>
      <c r="AA158" s="8">
        <v>0.52</v>
      </c>
      <c r="AB158" s="47">
        <f t="shared" si="52"/>
        <v>0.23586784</v>
      </c>
      <c r="AC158" s="8">
        <v>12.3</v>
      </c>
      <c r="AD158" s="8">
        <v>0.56000000000000005</v>
      </c>
      <c r="AE158" s="9">
        <v>0.28000000000000003</v>
      </c>
    </row>
    <row r="159" spans="1:31">
      <c r="C159" s="47" t="str">
        <f t="shared" si="53"/>
        <v/>
      </c>
      <c r="E159" s="47" t="str">
        <f t="shared" si="48"/>
        <v/>
      </c>
      <c r="I159" s="47" t="str">
        <f t="shared" si="49"/>
        <v/>
      </c>
      <c r="P159" s="51">
        <f t="shared" si="54"/>
        <v>0</v>
      </c>
      <c r="Q159" s="51">
        <f t="shared" si="55"/>
        <v>0</v>
      </c>
      <c r="R159" s="51">
        <f t="shared" si="56"/>
        <v>0</v>
      </c>
      <c r="S159" s="51">
        <f t="shared" si="57"/>
        <v>0</v>
      </c>
      <c r="T159" s="51">
        <f t="shared" si="58"/>
        <v>0</v>
      </c>
      <c r="U159" s="51">
        <f t="shared" si="59"/>
        <v>0</v>
      </c>
    </row>
    <row r="160" spans="1:31">
      <c r="A160" s="11"/>
      <c r="B160" s="10"/>
      <c r="C160" s="47" t="str">
        <f t="shared" si="53"/>
        <v/>
      </c>
      <c r="D160" s="10"/>
      <c r="E160" s="47" t="str">
        <f t="shared" si="48"/>
        <v/>
      </c>
      <c r="F160" s="10"/>
      <c r="G160" s="10"/>
      <c r="H160" s="10"/>
      <c r="I160" s="47" t="str">
        <f t="shared" si="49"/>
        <v/>
      </c>
      <c r="J160" s="26" t="s">
        <v>10</v>
      </c>
      <c r="K160" s="27"/>
      <c r="L160" s="27"/>
      <c r="M160" s="27"/>
      <c r="N160" s="27"/>
      <c r="O160" s="28"/>
      <c r="P160" s="51" t="e">
        <f t="shared" si="54"/>
        <v>#VALUE!</v>
      </c>
      <c r="Q160" s="51">
        <f t="shared" si="55"/>
        <v>0</v>
      </c>
      <c r="R160" s="51">
        <f t="shared" si="56"/>
        <v>0</v>
      </c>
      <c r="S160" s="51">
        <f t="shared" si="57"/>
        <v>0</v>
      </c>
      <c r="T160" s="51">
        <f t="shared" si="58"/>
        <v>0</v>
      </c>
      <c r="U160" s="51">
        <f t="shared" si="59"/>
        <v>0</v>
      </c>
      <c r="V160" s="20" t="s">
        <v>21</v>
      </c>
      <c r="W160" s="21"/>
      <c r="X160" s="21"/>
      <c r="Y160" s="21"/>
      <c r="Z160" s="21"/>
      <c r="AA160" s="21"/>
      <c r="AB160" s="21"/>
      <c r="AC160" s="21"/>
      <c r="AD160" s="21"/>
      <c r="AE160" s="22"/>
    </row>
    <row r="161" spans="1:31" ht="39">
      <c r="A161" s="12" t="s">
        <v>43</v>
      </c>
      <c r="B161" s="2" t="s">
        <v>27</v>
      </c>
      <c r="C161" s="47" t="s">
        <v>132</v>
      </c>
      <c r="D161" s="2" t="s">
        <v>31</v>
      </c>
      <c r="E161" s="49" t="s">
        <v>128</v>
      </c>
      <c r="F161" s="2"/>
      <c r="G161" s="2"/>
      <c r="H161" s="2" t="s">
        <v>30</v>
      </c>
      <c r="I161" s="45" t="s">
        <v>133</v>
      </c>
      <c r="J161" s="29" t="s">
        <v>11</v>
      </c>
      <c r="K161" s="30" t="s">
        <v>23</v>
      </c>
      <c r="L161" s="30" t="s">
        <v>24</v>
      </c>
      <c r="M161" s="30" t="s">
        <v>12</v>
      </c>
      <c r="N161" s="30" t="s">
        <v>13</v>
      </c>
      <c r="O161" s="31" t="s">
        <v>14</v>
      </c>
      <c r="P161" s="48" t="s">
        <v>130</v>
      </c>
      <c r="Q161" s="49" t="s">
        <v>23</v>
      </c>
      <c r="R161" s="49" t="s">
        <v>129</v>
      </c>
      <c r="S161" s="49" t="s">
        <v>117</v>
      </c>
      <c r="T161" s="49" t="s">
        <v>118</v>
      </c>
      <c r="U161" s="50" t="s">
        <v>119</v>
      </c>
      <c r="V161" s="29" t="s">
        <v>15</v>
      </c>
      <c r="W161" s="48" t="s">
        <v>120</v>
      </c>
      <c r="X161" s="45" t="s">
        <v>16</v>
      </c>
      <c r="Y161" s="55" t="s">
        <v>17</v>
      </c>
      <c r="Z161" s="49" t="s">
        <v>126</v>
      </c>
      <c r="AA161" s="2" t="s">
        <v>24</v>
      </c>
      <c r="AB161" s="49" t="s">
        <v>127</v>
      </c>
      <c r="AC161" s="2" t="s">
        <v>18</v>
      </c>
      <c r="AD161" s="2" t="s">
        <v>19</v>
      </c>
      <c r="AE161" s="4" t="s">
        <v>20</v>
      </c>
    </row>
    <row r="162" spans="1:31">
      <c r="A162" s="3"/>
      <c r="C162" s="47" t="str">
        <f t="shared" si="53"/>
        <v/>
      </c>
      <c r="D162" s="1">
        <v>900</v>
      </c>
      <c r="E162" s="47">
        <f t="shared" si="48"/>
        <v>408.2328</v>
      </c>
      <c r="H162" s="1">
        <v>1</v>
      </c>
      <c r="I162" s="47">
        <f t="shared" si="49"/>
        <v>0.453592</v>
      </c>
      <c r="J162" s="32">
        <v>11.27</v>
      </c>
      <c r="K162" s="25">
        <v>8.1999999999999993</v>
      </c>
      <c r="L162" s="25">
        <v>1.2</v>
      </c>
      <c r="M162" s="25">
        <v>1.54</v>
      </c>
      <c r="N162" s="25">
        <v>5.1999999999999998E-2</v>
      </c>
      <c r="O162" s="33">
        <v>3.1E-2</v>
      </c>
      <c r="P162" s="51">
        <f t="shared" si="54"/>
        <v>5.1119818399999994</v>
      </c>
      <c r="Q162" s="51">
        <f t="shared" si="55"/>
        <v>8.1999999999999993</v>
      </c>
      <c r="R162" s="51">
        <f t="shared" si="56"/>
        <v>0.54431039999999997</v>
      </c>
      <c r="S162" s="51">
        <f t="shared" si="57"/>
        <v>0.69853167999999999</v>
      </c>
      <c r="T162" s="51">
        <f t="shared" si="58"/>
        <v>2.3586784E-2</v>
      </c>
      <c r="U162" s="51">
        <f t="shared" si="59"/>
        <v>1.4061351999999999E-2</v>
      </c>
      <c r="V162" s="32">
        <v>20.7</v>
      </c>
      <c r="W162" s="51">
        <f>V162*$B$1</f>
        <v>9.3893544000000002</v>
      </c>
      <c r="X162" s="44">
        <v>54.3</v>
      </c>
      <c r="Y162" s="54">
        <v>0.51</v>
      </c>
      <c r="Z162" s="47">
        <f>IF(Y162&gt;0,(Y162*$B$1),"")</f>
        <v>0.23133192</v>
      </c>
      <c r="AA162" s="1">
        <v>0.25</v>
      </c>
      <c r="AB162" s="47">
        <f>IF(AA162&gt;0,(AA162*$B$1),"")</f>
        <v>0.113398</v>
      </c>
      <c r="AC162" s="1">
        <v>7.4</v>
      </c>
      <c r="AD162" s="1">
        <v>0.25</v>
      </c>
      <c r="AE162" s="6">
        <v>0.15</v>
      </c>
    </row>
    <row r="163" spans="1:31">
      <c r="A163" s="3"/>
      <c r="C163" s="47" t="str">
        <f t="shared" si="53"/>
        <v/>
      </c>
      <c r="D163" s="15">
        <v>1000</v>
      </c>
      <c r="E163" s="47">
        <f t="shared" si="48"/>
        <v>453.59199999999998</v>
      </c>
      <c r="F163" s="15"/>
      <c r="G163" s="15"/>
      <c r="H163" s="1">
        <v>1</v>
      </c>
      <c r="I163" s="47">
        <f t="shared" si="49"/>
        <v>0.453592</v>
      </c>
      <c r="J163" s="32">
        <v>12.21</v>
      </c>
      <c r="K163" s="25">
        <v>8.9</v>
      </c>
      <c r="L163" s="25">
        <v>1.3</v>
      </c>
      <c r="M163" s="25">
        <v>1.62</v>
      </c>
      <c r="N163" s="25">
        <v>5.3999999999999999E-2</v>
      </c>
      <c r="O163" s="33">
        <v>3.3000000000000002E-2</v>
      </c>
      <c r="P163" s="51">
        <f t="shared" si="54"/>
        <v>5.5383583200000004</v>
      </c>
      <c r="Q163" s="51">
        <f t="shared" si="55"/>
        <v>8.9</v>
      </c>
      <c r="R163" s="51">
        <f t="shared" si="56"/>
        <v>0.58966960000000002</v>
      </c>
      <c r="S163" s="51">
        <f t="shared" si="57"/>
        <v>0.73481904000000009</v>
      </c>
      <c r="T163" s="51">
        <f t="shared" si="58"/>
        <v>2.4493967999999998E-2</v>
      </c>
      <c r="U163" s="51">
        <f t="shared" si="59"/>
        <v>1.4968536000000001E-2</v>
      </c>
      <c r="V163" s="32">
        <v>22.5</v>
      </c>
      <c r="W163" s="51">
        <f t="shared" ref="W163:W221" si="60">V163*$B$1</f>
        <v>10.205819999999999</v>
      </c>
      <c r="X163" s="44">
        <v>54.4</v>
      </c>
      <c r="Y163" s="54">
        <v>0.51</v>
      </c>
      <c r="Z163" s="47">
        <f t="shared" ref="Z163:Z221" si="61">IF(Y163&gt;0,(Y163*$B$1),"")</f>
        <v>0.23133192</v>
      </c>
      <c r="AA163" s="1">
        <v>0.26</v>
      </c>
      <c r="AB163" s="47">
        <f t="shared" ref="AB163:AB221" si="62">IF(AA163&gt;0,(AA163*$B$1),"")</f>
        <v>0.11793392</v>
      </c>
      <c r="AC163" s="1">
        <v>7.2</v>
      </c>
      <c r="AD163" s="1">
        <v>0.24</v>
      </c>
      <c r="AE163" s="6">
        <v>0.15</v>
      </c>
    </row>
    <row r="164" spans="1:31">
      <c r="A164" s="3"/>
      <c r="C164" s="47" t="str">
        <f t="shared" si="53"/>
        <v/>
      </c>
      <c r="D164" s="15">
        <v>1100</v>
      </c>
      <c r="E164" s="47">
        <f t="shared" si="48"/>
        <v>498.95119999999997</v>
      </c>
      <c r="F164" s="15"/>
      <c r="G164" s="15"/>
      <c r="H164" s="1">
        <v>1</v>
      </c>
      <c r="I164" s="47">
        <f t="shared" si="49"/>
        <v>0.453592</v>
      </c>
      <c r="J164" s="32">
        <v>13.08</v>
      </c>
      <c r="K164" s="25">
        <v>9.5</v>
      </c>
      <c r="L164" s="25">
        <v>1.4</v>
      </c>
      <c r="M164" s="25">
        <v>1.69</v>
      </c>
      <c r="N164" s="25">
        <v>5.7000000000000002E-2</v>
      </c>
      <c r="O164" s="33">
        <v>3.5000000000000003E-2</v>
      </c>
      <c r="P164" s="51">
        <f t="shared" si="54"/>
        <v>5.9329833599999997</v>
      </c>
      <c r="Q164" s="51">
        <f t="shared" si="55"/>
        <v>9.5</v>
      </c>
      <c r="R164" s="51">
        <f t="shared" si="56"/>
        <v>0.63502879999999995</v>
      </c>
      <c r="S164" s="51">
        <f t="shared" si="57"/>
        <v>0.76657047999999994</v>
      </c>
      <c r="T164" s="51">
        <f t="shared" si="58"/>
        <v>2.5854743999999999E-2</v>
      </c>
      <c r="U164" s="51">
        <f t="shared" si="59"/>
        <v>1.5875720000000003E-2</v>
      </c>
      <c r="V164" s="32">
        <v>24.1</v>
      </c>
      <c r="W164" s="51">
        <f t="shared" si="60"/>
        <v>10.9315672</v>
      </c>
      <c r="X164" s="44">
        <v>54.3</v>
      </c>
      <c r="Y164" s="54">
        <v>0.51</v>
      </c>
      <c r="Z164" s="47">
        <f t="shared" si="61"/>
        <v>0.23133192</v>
      </c>
      <c r="AA164" s="1">
        <v>0.25</v>
      </c>
      <c r="AB164" s="47">
        <f t="shared" si="62"/>
        <v>0.113398</v>
      </c>
      <c r="AC164" s="1">
        <v>7</v>
      </c>
      <c r="AD164" s="1">
        <v>0.23</v>
      </c>
      <c r="AE164" s="6">
        <v>0.14000000000000001</v>
      </c>
    </row>
    <row r="165" spans="1:31">
      <c r="A165" s="3"/>
      <c r="C165" s="47" t="str">
        <f t="shared" si="53"/>
        <v/>
      </c>
      <c r="D165" s="15">
        <v>1200</v>
      </c>
      <c r="E165" s="47">
        <f t="shared" si="48"/>
        <v>544.31039999999996</v>
      </c>
      <c r="F165" s="15"/>
      <c r="G165" s="15"/>
      <c r="H165" s="1">
        <v>1</v>
      </c>
      <c r="I165" s="47">
        <f t="shared" si="49"/>
        <v>0.453592</v>
      </c>
      <c r="J165" s="32">
        <v>14</v>
      </c>
      <c r="K165" s="25">
        <v>10.199999999999999</v>
      </c>
      <c r="L165" s="25">
        <v>1.5</v>
      </c>
      <c r="M165" s="25">
        <v>1.76</v>
      </c>
      <c r="N165" s="25">
        <v>5.8999999999999997E-2</v>
      </c>
      <c r="O165" s="33">
        <v>3.5999999999999997E-2</v>
      </c>
      <c r="P165" s="51">
        <f t="shared" si="54"/>
        <v>6.3502879999999999</v>
      </c>
      <c r="Q165" s="51">
        <f t="shared" si="55"/>
        <v>10.199999999999999</v>
      </c>
      <c r="R165" s="51">
        <f t="shared" si="56"/>
        <v>0.68038799999999999</v>
      </c>
      <c r="S165" s="51">
        <f t="shared" si="57"/>
        <v>0.79832192000000002</v>
      </c>
      <c r="T165" s="51">
        <f t="shared" si="58"/>
        <v>2.6761927999999997E-2</v>
      </c>
      <c r="U165" s="51">
        <f t="shared" si="59"/>
        <v>1.6329311999999999E-2</v>
      </c>
      <c r="V165" s="32">
        <v>25.7</v>
      </c>
      <c r="W165" s="51">
        <f t="shared" si="60"/>
        <v>11.657314399999999</v>
      </c>
      <c r="X165" s="44">
        <v>54.4</v>
      </c>
      <c r="Y165" s="54">
        <v>0.51</v>
      </c>
      <c r="Z165" s="47">
        <f t="shared" si="61"/>
        <v>0.23133192</v>
      </c>
      <c r="AA165" s="1">
        <v>0.26</v>
      </c>
      <c r="AB165" s="47">
        <f t="shared" si="62"/>
        <v>0.11793392</v>
      </c>
      <c r="AC165" s="1">
        <v>6.9</v>
      </c>
      <c r="AD165" s="1">
        <v>0.23</v>
      </c>
      <c r="AE165" s="6">
        <v>0.14000000000000001</v>
      </c>
    </row>
    <row r="166" spans="1:31">
      <c r="A166" s="3"/>
      <c r="C166" s="47" t="str">
        <f t="shared" si="53"/>
        <v/>
      </c>
      <c r="D166" s="15">
        <v>1300</v>
      </c>
      <c r="E166" s="47">
        <f t="shared" si="48"/>
        <v>589.66959999999995</v>
      </c>
      <c r="F166" s="15"/>
      <c r="G166" s="15"/>
      <c r="H166" s="1">
        <v>1</v>
      </c>
      <c r="I166" s="47">
        <f t="shared" si="49"/>
        <v>0.453592</v>
      </c>
      <c r="J166" s="32">
        <v>14.85</v>
      </c>
      <c r="K166" s="25">
        <v>10.8</v>
      </c>
      <c r="L166" s="25">
        <v>1.5</v>
      </c>
      <c r="M166" s="25">
        <v>1.83</v>
      </c>
      <c r="N166" s="25">
        <v>6.0999999999999999E-2</v>
      </c>
      <c r="O166" s="33">
        <v>3.7999999999999999E-2</v>
      </c>
      <c r="P166" s="51">
        <f t="shared" si="54"/>
        <v>6.7358411999999994</v>
      </c>
      <c r="Q166" s="51">
        <f t="shared" si="55"/>
        <v>10.8</v>
      </c>
      <c r="R166" s="51">
        <f t="shared" si="56"/>
        <v>0.68038799999999999</v>
      </c>
      <c r="S166" s="51">
        <f t="shared" si="57"/>
        <v>0.83007335999999998</v>
      </c>
      <c r="T166" s="51">
        <f t="shared" si="58"/>
        <v>2.7669111999999999E-2</v>
      </c>
      <c r="U166" s="51">
        <f t="shared" si="59"/>
        <v>1.7236496E-2</v>
      </c>
      <c r="V166" s="32">
        <v>27.3</v>
      </c>
      <c r="W166" s="51">
        <f t="shared" si="60"/>
        <v>12.3830616</v>
      </c>
      <c r="X166" s="44">
        <v>54.3</v>
      </c>
      <c r="Y166" s="54">
        <v>0.51</v>
      </c>
      <c r="Z166" s="47">
        <f t="shared" si="61"/>
        <v>0.23133192</v>
      </c>
      <c r="AA166" s="1">
        <v>0.25</v>
      </c>
      <c r="AB166" s="47">
        <f t="shared" si="62"/>
        <v>0.113398</v>
      </c>
      <c r="AC166" s="1">
        <v>6.7</v>
      </c>
      <c r="AD166" s="1">
        <v>0.22</v>
      </c>
      <c r="AE166" s="6">
        <v>0.14000000000000001</v>
      </c>
    </row>
    <row r="167" spans="1:31">
      <c r="A167" s="3"/>
      <c r="C167" s="47" t="str">
        <f t="shared" si="53"/>
        <v/>
      </c>
      <c r="D167" s="15">
        <v>1400</v>
      </c>
      <c r="E167" s="47">
        <f t="shared" si="48"/>
        <v>635.02880000000005</v>
      </c>
      <c r="F167" s="15"/>
      <c r="G167" s="15"/>
      <c r="H167" s="1">
        <v>1</v>
      </c>
      <c r="I167" s="47">
        <f t="shared" si="49"/>
        <v>0.453592</v>
      </c>
      <c r="J167" s="32">
        <v>15.68</v>
      </c>
      <c r="K167" s="25">
        <v>11.4</v>
      </c>
      <c r="L167" s="25">
        <v>1.6</v>
      </c>
      <c r="M167" s="25">
        <v>1.9</v>
      </c>
      <c r="N167" s="25">
        <v>6.3E-2</v>
      </c>
      <c r="O167" s="33">
        <v>0.04</v>
      </c>
      <c r="P167" s="51">
        <f t="shared" si="54"/>
        <v>7.11232256</v>
      </c>
      <c r="Q167" s="51">
        <f t="shared" si="55"/>
        <v>11.4</v>
      </c>
      <c r="R167" s="51">
        <f t="shared" si="56"/>
        <v>0.72574720000000004</v>
      </c>
      <c r="S167" s="51">
        <f t="shared" si="57"/>
        <v>0.86182479999999995</v>
      </c>
      <c r="T167" s="51">
        <f t="shared" si="58"/>
        <v>2.8576296000000001E-2</v>
      </c>
      <c r="U167" s="51">
        <f t="shared" si="59"/>
        <v>1.8143679999999999E-2</v>
      </c>
      <c r="V167" s="32">
        <v>28.9</v>
      </c>
      <c r="W167" s="51">
        <f t="shared" si="60"/>
        <v>13.108808799999998</v>
      </c>
      <c r="X167" s="44">
        <v>54.3</v>
      </c>
      <c r="Y167" s="54">
        <v>0.51</v>
      </c>
      <c r="Z167" s="47">
        <f t="shared" si="61"/>
        <v>0.23133192</v>
      </c>
      <c r="AA167" s="1">
        <v>0.25</v>
      </c>
      <c r="AB167" s="47">
        <f t="shared" si="62"/>
        <v>0.113398</v>
      </c>
      <c r="AC167" s="1">
        <v>6.6</v>
      </c>
      <c r="AD167" s="1">
        <v>0.22</v>
      </c>
      <c r="AE167" s="6">
        <v>0.14000000000000001</v>
      </c>
    </row>
    <row r="168" spans="1:31">
      <c r="A168" s="3"/>
      <c r="C168" s="47" t="str">
        <f t="shared" si="53"/>
        <v/>
      </c>
      <c r="D168" s="15">
        <v>1500</v>
      </c>
      <c r="E168" s="47">
        <f t="shared" si="48"/>
        <v>680.38800000000003</v>
      </c>
      <c r="F168" s="15"/>
      <c r="G168" s="15"/>
      <c r="H168" s="1">
        <v>1</v>
      </c>
      <c r="I168" s="47">
        <f t="shared" si="49"/>
        <v>0.453592</v>
      </c>
      <c r="J168" s="32">
        <v>16.510000000000002</v>
      </c>
      <c r="K168" s="25">
        <v>12</v>
      </c>
      <c r="L168" s="25">
        <v>1.7</v>
      </c>
      <c r="M168" s="25">
        <v>1.97</v>
      </c>
      <c r="N168" s="25">
        <v>6.5000000000000002E-2</v>
      </c>
      <c r="O168" s="33">
        <v>4.2000000000000003E-2</v>
      </c>
      <c r="P168" s="51">
        <f t="shared" si="54"/>
        <v>7.4888039200000005</v>
      </c>
      <c r="Q168" s="51">
        <f t="shared" si="55"/>
        <v>12</v>
      </c>
      <c r="R168" s="51">
        <f t="shared" si="56"/>
        <v>0.77110639999999997</v>
      </c>
      <c r="S168" s="51">
        <f t="shared" si="57"/>
        <v>0.89357624000000002</v>
      </c>
      <c r="T168" s="51">
        <f t="shared" si="58"/>
        <v>2.9483479999999999E-2</v>
      </c>
      <c r="U168" s="51">
        <f t="shared" si="59"/>
        <v>1.9050864000000001E-2</v>
      </c>
      <c r="V168" s="32">
        <v>30.4</v>
      </c>
      <c r="W168" s="51">
        <f t="shared" si="60"/>
        <v>13.789196799999999</v>
      </c>
      <c r="X168" s="44">
        <v>54.3</v>
      </c>
      <c r="Y168" s="54">
        <v>0.51</v>
      </c>
      <c r="Z168" s="47">
        <f t="shared" si="61"/>
        <v>0.23133192</v>
      </c>
      <c r="AA168" s="1">
        <v>0.25</v>
      </c>
      <c r="AB168" s="47">
        <f t="shared" si="62"/>
        <v>0.113398</v>
      </c>
      <c r="AC168" s="1">
        <v>6.5</v>
      </c>
      <c r="AD168" s="1">
        <v>0.21</v>
      </c>
      <c r="AE168" s="6">
        <v>0.14000000000000001</v>
      </c>
    </row>
    <row r="169" spans="1:31">
      <c r="A169" s="3"/>
      <c r="C169" s="47" t="str">
        <f t="shared" si="53"/>
        <v/>
      </c>
      <c r="D169" s="15">
        <v>1600</v>
      </c>
      <c r="E169" s="47">
        <f t="shared" si="48"/>
        <v>725.74720000000002</v>
      </c>
      <c r="F169" s="15"/>
      <c r="G169" s="15"/>
      <c r="H169" s="1">
        <v>1</v>
      </c>
      <c r="I169" s="47">
        <f t="shared" si="49"/>
        <v>0.453592</v>
      </c>
      <c r="J169" s="32">
        <v>17.329999999999998</v>
      </c>
      <c r="K169" s="25">
        <v>12.6</v>
      </c>
      <c r="L169" s="25">
        <v>1.8</v>
      </c>
      <c r="M169" s="25">
        <v>2.04</v>
      </c>
      <c r="N169" s="25">
        <v>6.7000000000000004E-2</v>
      </c>
      <c r="O169" s="33">
        <v>4.3999999999999997E-2</v>
      </c>
      <c r="P169" s="51">
        <f t="shared" si="54"/>
        <v>7.8607493599999989</v>
      </c>
      <c r="Q169" s="51">
        <f t="shared" si="55"/>
        <v>12.6</v>
      </c>
      <c r="R169" s="51">
        <f t="shared" si="56"/>
        <v>0.81646560000000001</v>
      </c>
      <c r="S169" s="51">
        <f t="shared" si="57"/>
        <v>0.92532767999999999</v>
      </c>
      <c r="T169" s="51">
        <f t="shared" si="58"/>
        <v>3.0390664000000001E-2</v>
      </c>
      <c r="U169" s="51">
        <f t="shared" si="59"/>
        <v>1.9958047999999999E-2</v>
      </c>
      <c r="V169" s="32">
        <v>31.9</v>
      </c>
      <c r="W169" s="51">
        <f t="shared" si="60"/>
        <v>14.4695848</v>
      </c>
      <c r="X169" s="44">
        <v>54.3</v>
      </c>
      <c r="Y169" s="54">
        <v>0.51</v>
      </c>
      <c r="Z169" s="47">
        <f t="shared" si="61"/>
        <v>0.23133192</v>
      </c>
      <c r="AA169" s="1">
        <v>0.25</v>
      </c>
      <c r="AB169" s="47">
        <f t="shared" si="62"/>
        <v>0.113398</v>
      </c>
      <c r="AC169" s="1">
        <v>6.4</v>
      </c>
      <c r="AD169" s="1">
        <v>0.21</v>
      </c>
      <c r="AE169" s="6">
        <v>0.14000000000000001</v>
      </c>
    </row>
    <row r="170" spans="1:31">
      <c r="A170" s="3"/>
      <c r="C170" s="47" t="str">
        <f t="shared" si="53"/>
        <v/>
      </c>
      <c r="D170" s="15">
        <v>1700</v>
      </c>
      <c r="E170" s="47">
        <f t="shared" si="48"/>
        <v>771.10640000000001</v>
      </c>
      <c r="F170" s="15"/>
      <c r="G170" s="15"/>
      <c r="H170" s="1">
        <v>1</v>
      </c>
      <c r="I170" s="47">
        <f t="shared" si="49"/>
        <v>0.453592</v>
      </c>
      <c r="J170" s="32">
        <v>18.149999999999999</v>
      </c>
      <c r="K170" s="25">
        <v>13.2</v>
      </c>
      <c r="L170" s="25">
        <v>1.9</v>
      </c>
      <c r="M170" s="25">
        <v>2.1</v>
      </c>
      <c r="N170" s="25">
        <v>6.9000000000000006E-2</v>
      </c>
      <c r="O170" s="33">
        <v>4.5999999999999999E-2</v>
      </c>
      <c r="P170" s="51">
        <f t="shared" si="54"/>
        <v>8.2326947999999991</v>
      </c>
      <c r="Q170" s="51">
        <f t="shared" si="55"/>
        <v>13.2</v>
      </c>
      <c r="R170" s="51">
        <f t="shared" si="56"/>
        <v>0.86182479999999995</v>
      </c>
      <c r="S170" s="51">
        <f t="shared" si="57"/>
        <v>0.95254320000000003</v>
      </c>
      <c r="T170" s="51">
        <f t="shared" si="58"/>
        <v>3.1297848000000003E-2</v>
      </c>
      <c r="U170" s="51">
        <f t="shared" si="59"/>
        <v>2.0865232000000001E-2</v>
      </c>
      <c r="V170" s="32">
        <v>33.4</v>
      </c>
      <c r="W170" s="51">
        <f t="shared" si="60"/>
        <v>15.149972799999999</v>
      </c>
      <c r="X170" s="44">
        <v>54.3</v>
      </c>
      <c r="Y170" s="54">
        <v>0.51</v>
      </c>
      <c r="Z170" s="47">
        <f t="shared" si="61"/>
        <v>0.23133192</v>
      </c>
      <c r="AA170" s="1">
        <v>0.25</v>
      </c>
      <c r="AB170" s="47">
        <f t="shared" si="62"/>
        <v>0.113398</v>
      </c>
      <c r="AC170" s="1">
        <v>6.3</v>
      </c>
      <c r="AD170" s="1">
        <v>0.21</v>
      </c>
      <c r="AE170" s="6">
        <v>0.14000000000000001</v>
      </c>
    </row>
    <row r="171" spans="1:31">
      <c r="A171" s="3"/>
      <c r="C171" s="47" t="str">
        <f t="shared" si="53"/>
        <v/>
      </c>
      <c r="D171" s="15">
        <v>1800</v>
      </c>
      <c r="E171" s="47">
        <f t="shared" si="48"/>
        <v>816.46559999999999</v>
      </c>
      <c r="F171" s="15"/>
      <c r="G171" s="15"/>
      <c r="H171" s="1">
        <v>1</v>
      </c>
      <c r="I171" s="47">
        <f t="shared" si="49"/>
        <v>0.453592</v>
      </c>
      <c r="J171" s="32">
        <v>18.96</v>
      </c>
      <c r="K171" s="25">
        <v>13.8</v>
      </c>
      <c r="L171" s="25">
        <v>2</v>
      </c>
      <c r="M171" s="25">
        <v>2.17</v>
      </c>
      <c r="N171" s="25">
        <v>7.1999999999999995E-2</v>
      </c>
      <c r="O171" s="33">
        <v>4.8000000000000001E-2</v>
      </c>
      <c r="P171" s="51">
        <f t="shared" si="54"/>
        <v>8.6001043199999998</v>
      </c>
      <c r="Q171" s="51">
        <f t="shared" si="55"/>
        <v>13.8</v>
      </c>
      <c r="R171" s="51">
        <f t="shared" si="56"/>
        <v>0.90718399999999999</v>
      </c>
      <c r="S171" s="51">
        <f t="shared" si="57"/>
        <v>0.98429464</v>
      </c>
      <c r="T171" s="51">
        <f t="shared" si="58"/>
        <v>3.2658623999999997E-2</v>
      </c>
      <c r="U171" s="51">
        <f t="shared" si="59"/>
        <v>2.1772415999999999E-2</v>
      </c>
      <c r="V171" s="32">
        <v>34.9</v>
      </c>
      <c r="W171" s="51">
        <f t="shared" si="60"/>
        <v>15.830360799999999</v>
      </c>
      <c r="X171" s="44">
        <v>54.3</v>
      </c>
      <c r="Y171" s="54">
        <v>0.51</v>
      </c>
      <c r="Z171" s="47">
        <f t="shared" si="61"/>
        <v>0.23133192</v>
      </c>
      <c r="AA171" s="1">
        <v>0.25</v>
      </c>
      <c r="AB171" s="47">
        <f t="shared" si="62"/>
        <v>0.113398</v>
      </c>
      <c r="AC171" s="1">
        <v>6.2</v>
      </c>
      <c r="AD171" s="1">
        <v>0.21</v>
      </c>
      <c r="AE171" s="6">
        <v>0.14000000000000001</v>
      </c>
    </row>
    <row r="172" spans="1:31">
      <c r="A172" s="3"/>
      <c r="C172" s="47" t="str">
        <f t="shared" si="53"/>
        <v/>
      </c>
      <c r="D172" s="1">
        <v>900</v>
      </c>
      <c r="E172" s="47">
        <f t="shared" si="48"/>
        <v>408.2328</v>
      </c>
      <c r="H172" s="1">
        <v>1.5</v>
      </c>
      <c r="I172" s="47">
        <f t="shared" si="49"/>
        <v>0.68038799999999999</v>
      </c>
      <c r="J172" s="32">
        <v>12.03</v>
      </c>
      <c r="K172" s="25">
        <v>8.1999999999999993</v>
      </c>
      <c r="L172" s="25">
        <v>1.8</v>
      </c>
      <c r="M172" s="25">
        <v>1.75</v>
      </c>
      <c r="N172" s="25">
        <v>6.5000000000000002E-2</v>
      </c>
      <c r="O172" s="33">
        <v>3.5999999999999997E-2</v>
      </c>
      <c r="P172" s="51">
        <f t="shared" si="54"/>
        <v>5.4567117599999992</v>
      </c>
      <c r="Q172" s="51">
        <f t="shared" si="55"/>
        <v>8.1999999999999993</v>
      </c>
      <c r="R172" s="51">
        <f t="shared" si="56"/>
        <v>0.81646560000000001</v>
      </c>
      <c r="S172" s="51">
        <f t="shared" si="57"/>
        <v>0.79378599999999999</v>
      </c>
      <c r="T172" s="51">
        <f t="shared" si="58"/>
        <v>2.9483479999999999E-2</v>
      </c>
      <c r="U172" s="51">
        <f t="shared" si="59"/>
        <v>1.6329311999999999E-2</v>
      </c>
      <c r="V172" s="32">
        <v>21</v>
      </c>
      <c r="W172" s="51">
        <f t="shared" si="60"/>
        <v>9.5254320000000003</v>
      </c>
      <c r="X172" s="44">
        <v>57.2</v>
      </c>
      <c r="Y172" s="54">
        <v>0.55000000000000004</v>
      </c>
      <c r="Z172" s="47">
        <f t="shared" si="61"/>
        <v>0.24947560000000002</v>
      </c>
      <c r="AA172" s="1">
        <v>0.3</v>
      </c>
      <c r="AB172" s="47">
        <f t="shared" si="62"/>
        <v>0.13607759999999999</v>
      </c>
      <c r="AC172" s="1">
        <v>8.3000000000000007</v>
      </c>
      <c r="AD172" s="1">
        <v>0.31</v>
      </c>
      <c r="AE172" s="6">
        <v>0.17</v>
      </c>
    </row>
    <row r="173" spans="1:31">
      <c r="A173" s="3"/>
      <c r="C173" s="47" t="str">
        <f t="shared" si="53"/>
        <v/>
      </c>
      <c r="D173" s="15">
        <v>1000</v>
      </c>
      <c r="E173" s="47">
        <f t="shared" si="48"/>
        <v>453.59199999999998</v>
      </c>
      <c r="F173" s="15"/>
      <c r="G173" s="15"/>
      <c r="H173" s="1">
        <v>1.5</v>
      </c>
      <c r="I173" s="47">
        <f t="shared" si="49"/>
        <v>0.68038799999999999</v>
      </c>
      <c r="J173" s="32">
        <v>13.03</v>
      </c>
      <c r="K173" s="25">
        <v>8.9</v>
      </c>
      <c r="L173" s="25">
        <v>2</v>
      </c>
      <c r="M173" s="25">
        <v>1.82</v>
      </c>
      <c r="N173" s="25">
        <v>6.6000000000000003E-2</v>
      </c>
      <c r="O173" s="33">
        <v>3.6999999999999998E-2</v>
      </c>
      <c r="P173" s="51">
        <f t="shared" si="54"/>
        <v>5.9103037599999997</v>
      </c>
      <c r="Q173" s="51">
        <f t="shared" si="55"/>
        <v>8.9</v>
      </c>
      <c r="R173" s="51">
        <f t="shared" si="56"/>
        <v>0.90718399999999999</v>
      </c>
      <c r="S173" s="51">
        <f t="shared" si="57"/>
        <v>0.82553744000000007</v>
      </c>
      <c r="T173" s="51">
        <f t="shared" si="58"/>
        <v>2.9937072000000002E-2</v>
      </c>
      <c r="U173" s="51">
        <f t="shared" si="59"/>
        <v>1.6782903999999998E-2</v>
      </c>
      <c r="V173" s="32">
        <v>22.8</v>
      </c>
      <c r="W173" s="51">
        <f t="shared" si="60"/>
        <v>10.341897599999999</v>
      </c>
      <c r="X173" s="44">
        <v>57.2</v>
      </c>
      <c r="Y173" s="54">
        <v>0.55000000000000004</v>
      </c>
      <c r="Z173" s="47">
        <f t="shared" si="61"/>
        <v>0.24947560000000002</v>
      </c>
      <c r="AA173" s="1">
        <v>0.3</v>
      </c>
      <c r="AB173" s="47">
        <f t="shared" si="62"/>
        <v>0.13607759999999999</v>
      </c>
      <c r="AC173" s="1">
        <v>8</v>
      </c>
      <c r="AD173" s="1">
        <v>0.28999999999999998</v>
      </c>
      <c r="AE173" s="6">
        <v>0.16</v>
      </c>
    </row>
    <row r="174" spans="1:31">
      <c r="A174" s="3"/>
      <c r="C174" s="47" t="str">
        <f t="shared" si="53"/>
        <v/>
      </c>
      <c r="D174" s="15">
        <v>1100</v>
      </c>
      <c r="E174" s="47">
        <f t="shared" si="48"/>
        <v>498.95119999999997</v>
      </c>
      <c r="F174" s="15"/>
      <c r="G174" s="15"/>
      <c r="H174" s="1">
        <v>1.5</v>
      </c>
      <c r="I174" s="47">
        <f t="shared" si="49"/>
        <v>0.68038799999999999</v>
      </c>
      <c r="J174" s="32">
        <v>13.97</v>
      </c>
      <c r="K174" s="25">
        <v>9.5</v>
      </c>
      <c r="L174" s="25">
        <v>2.1</v>
      </c>
      <c r="M174" s="25">
        <v>1.89</v>
      </c>
      <c r="N174" s="25">
        <v>6.8000000000000005E-2</v>
      </c>
      <c r="O174" s="33">
        <v>3.9E-2</v>
      </c>
      <c r="P174" s="51">
        <f t="shared" si="54"/>
        <v>6.3366802400000006</v>
      </c>
      <c r="Q174" s="51">
        <f t="shared" si="55"/>
        <v>9.5</v>
      </c>
      <c r="R174" s="51">
        <f t="shared" si="56"/>
        <v>0.95254320000000003</v>
      </c>
      <c r="S174" s="51">
        <f t="shared" si="57"/>
        <v>0.85728887999999992</v>
      </c>
      <c r="T174" s="51">
        <f t="shared" si="58"/>
        <v>3.0844256E-2</v>
      </c>
      <c r="U174" s="51">
        <f t="shared" si="59"/>
        <v>1.7690088E-2</v>
      </c>
      <c r="V174" s="32">
        <v>24.5</v>
      </c>
      <c r="W174" s="51">
        <f t="shared" si="60"/>
        <v>11.113004</v>
      </c>
      <c r="X174" s="44">
        <v>57.1</v>
      </c>
      <c r="Y174" s="54">
        <v>0.55000000000000004</v>
      </c>
      <c r="Z174" s="47">
        <f t="shared" si="61"/>
        <v>0.24947560000000002</v>
      </c>
      <c r="AA174" s="1">
        <v>0.28999999999999998</v>
      </c>
      <c r="AB174" s="47">
        <f t="shared" si="62"/>
        <v>0.13154167999999999</v>
      </c>
      <c r="AC174" s="1">
        <v>7.7</v>
      </c>
      <c r="AD174" s="1">
        <v>0.28000000000000003</v>
      </c>
      <c r="AE174" s="6">
        <v>0.16</v>
      </c>
    </row>
    <row r="175" spans="1:31">
      <c r="A175" s="3"/>
      <c r="C175" s="47" t="str">
        <f t="shared" si="53"/>
        <v/>
      </c>
      <c r="D175" s="15">
        <v>1200</v>
      </c>
      <c r="E175" s="47">
        <f t="shared" si="48"/>
        <v>544.31039999999996</v>
      </c>
      <c r="F175" s="15"/>
      <c r="G175" s="15"/>
      <c r="H175" s="1">
        <v>1.5</v>
      </c>
      <c r="I175" s="47">
        <f t="shared" si="49"/>
        <v>0.68038799999999999</v>
      </c>
      <c r="J175" s="32">
        <v>14.94</v>
      </c>
      <c r="K175" s="25">
        <v>10.199999999999999</v>
      </c>
      <c r="L175" s="25">
        <v>2.2999999999999998</v>
      </c>
      <c r="M175" s="25">
        <v>1.95</v>
      </c>
      <c r="N175" s="25">
        <v>6.9000000000000006E-2</v>
      </c>
      <c r="O175" s="33">
        <v>4.1000000000000002E-2</v>
      </c>
      <c r="P175" s="51">
        <f t="shared" si="54"/>
        <v>6.77666448</v>
      </c>
      <c r="Q175" s="51">
        <f t="shared" si="55"/>
        <v>10.199999999999999</v>
      </c>
      <c r="R175" s="51">
        <f t="shared" si="56"/>
        <v>1.0432615999999999</v>
      </c>
      <c r="S175" s="51">
        <f t="shared" si="57"/>
        <v>0.88450439999999997</v>
      </c>
      <c r="T175" s="51">
        <f t="shared" si="58"/>
        <v>3.1297848000000003E-2</v>
      </c>
      <c r="U175" s="51">
        <f t="shared" si="59"/>
        <v>1.8597272000000001E-2</v>
      </c>
      <c r="V175" s="32">
        <v>26.1</v>
      </c>
      <c r="W175" s="51">
        <f t="shared" si="60"/>
        <v>11.838751200000001</v>
      </c>
      <c r="X175" s="44">
        <v>57.2</v>
      </c>
      <c r="Y175" s="54">
        <v>0.55000000000000004</v>
      </c>
      <c r="Z175" s="47">
        <f t="shared" si="61"/>
        <v>0.24947560000000002</v>
      </c>
      <c r="AA175" s="1">
        <v>0.3</v>
      </c>
      <c r="AB175" s="47">
        <f t="shared" si="62"/>
        <v>0.13607759999999999</v>
      </c>
      <c r="AC175" s="1">
        <v>7.5</v>
      </c>
      <c r="AD175" s="1">
        <v>0.27</v>
      </c>
      <c r="AE175" s="6">
        <v>0.16</v>
      </c>
    </row>
    <row r="176" spans="1:31">
      <c r="A176" s="3"/>
      <c r="C176" s="47" t="str">
        <f t="shared" si="53"/>
        <v/>
      </c>
      <c r="D176" s="15">
        <v>1300</v>
      </c>
      <c r="E176" s="47">
        <f t="shared" si="48"/>
        <v>589.66959999999995</v>
      </c>
      <c r="F176" s="15"/>
      <c r="G176" s="15"/>
      <c r="H176" s="1">
        <v>1.5</v>
      </c>
      <c r="I176" s="47">
        <f t="shared" si="49"/>
        <v>0.68038799999999999</v>
      </c>
      <c r="J176" s="32">
        <v>15.86</v>
      </c>
      <c r="K176" s="25">
        <v>10.8</v>
      </c>
      <c r="L176" s="25">
        <v>2.4</v>
      </c>
      <c r="M176" s="25">
        <v>2.0099999999999998</v>
      </c>
      <c r="N176" s="25">
        <v>7.0999999999999994E-2</v>
      </c>
      <c r="O176" s="33">
        <v>4.2999999999999997E-2</v>
      </c>
      <c r="P176" s="51">
        <f t="shared" si="54"/>
        <v>7.1939691199999993</v>
      </c>
      <c r="Q176" s="51">
        <f t="shared" si="55"/>
        <v>10.8</v>
      </c>
      <c r="R176" s="51">
        <f t="shared" si="56"/>
        <v>1.0886207999999999</v>
      </c>
      <c r="S176" s="51">
        <f t="shared" si="57"/>
        <v>0.91171991999999991</v>
      </c>
      <c r="T176" s="51">
        <f t="shared" si="58"/>
        <v>3.2205031999999995E-2</v>
      </c>
      <c r="U176" s="51">
        <f t="shared" si="59"/>
        <v>1.9504456E-2</v>
      </c>
      <c r="V176" s="32">
        <v>27.7</v>
      </c>
      <c r="W176" s="51">
        <f t="shared" si="60"/>
        <v>12.5644984</v>
      </c>
      <c r="X176" s="44">
        <v>57.2</v>
      </c>
      <c r="Y176" s="54">
        <v>0.55000000000000004</v>
      </c>
      <c r="Z176" s="47">
        <f t="shared" si="61"/>
        <v>0.24947560000000002</v>
      </c>
      <c r="AA176" s="1">
        <v>0.3</v>
      </c>
      <c r="AB176" s="47">
        <f t="shared" si="62"/>
        <v>0.13607759999999999</v>
      </c>
      <c r="AC176" s="1">
        <v>7.3</v>
      </c>
      <c r="AD176" s="1">
        <v>0.26</v>
      </c>
      <c r="AE176" s="6">
        <v>0.15</v>
      </c>
    </row>
    <row r="177" spans="1:31">
      <c r="A177" s="3"/>
      <c r="C177" s="47" t="str">
        <f t="shared" si="53"/>
        <v/>
      </c>
      <c r="D177" s="15">
        <v>1400</v>
      </c>
      <c r="E177" s="47">
        <f t="shared" si="48"/>
        <v>635.02880000000005</v>
      </c>
      <c r="F177" s="15"/>
      <c r="G177" s="15"/>
      <c r="H177" s="1">
        <v>1.5</v>
      </c>
      <c r="I177" s="47">
        <f t="shared" si="49"/>
        <v>0.68038799999999999</v>
      </c>
      <c r="J177" s="32">
        <v>16.739999999999998</v>
      </c>
      <c r="K177" s="25">
        <v>11.4</v>
      </c>
      <c r="L177" s="25">
        <v>2.5</v>
      </c>
      <c r="M177" s="25">
        <v>2.0699999999999998</v>
      </c>
      <c r="N177" s="25">
        <v>7.2999999999999995E-2</v>
      </c>
      <c r="O177" s="33">
        <v>4.3999999999999997E-2</v>
      </c>
      <c r="P177" s="51">
        <f t="shared" si="54"/>
        <v>7.593130079999999</v>
      </c>
      <c r="Q177" s="51">
        <f t="shared" si="55"/>
        <v>11.4</v>
      </c>
      <c r="R177" s="51">
        <f t="shared" si="56"/>
        <v>1.13398</v>
      </c>
      <c r="S177" s="51">
        <f t="shared" si="57"/>
        <v>0.93893543999999995</v>
      </c>
      <c r="T177" s="51">
        <f t="shared" si="58"/>
        <v>3.3112216E-2</v>
      </c>
      <c r="U177" s="51">
        <f t="shared" si="59"/>
        <v>1.9958047999999999E-2</v>
      </c>
      <c r="V177" s="32">
        <v>29.3</v>
      </c>
      <c r="W177" s="51">
        <f t="shared" si="60"/>
        <v>13.2902456</v>
      </c>
      <c r="X177" s="44">
        <v>57.1</v>
      </c>
      <c r="Y177" s="54">
        <v>0.55000000000000004</v>
      </c>
      <c r="Z177" s="47">
        <f t="shared" si="61"/>
        <v>0.24947560000000002</v>
      </c>
      <c r="AA177" s="1">
        <v>0.28999999999999998</v>
      </c>
      <c r="AB177" s="47">
        <f t="shared" si="62"/>
        <v>0.13154167999999999</v>
      </c>
      <c r="AC177" s="1">
        <v>7.1</v>
      </c>
      <c r="AD177" s="1">
        <v>0.25</v>
      </c>
      <c r="AE177" s="6">
        <v>0.15</v>
      </c>
    </row>
    <row r="178" spans="1:31">
      <c r="A178" s="3"/>
      <c r="C178" s="47" t="str">
        <f t="shared" si="53"/>
        <v/>
      </c>
      <c r="D178" s="15">
        <v>1500</v>
      </c>
      <c r="E178" s="47">
        <f t="shared" si="48"/>
        <v>680.38800000000003</v>
      </c>
      <c r="F178" s="15"/>
      <c r="G178" s="15"/>
      <c r="H178" s="1">
        <v>1.5</v>
      </c>
      <c r="I178" s="47">
        <f t="shared" si="49"/>
        <v>0.68038799999999999</v>
      </c>
      <c r="J178" s="32">
        <v>17.64</v>
      </c>
      <c r="K178" s="25">
        <v>12</v>
      </c>
      <c r="L178" s="25">
        <v>2.6</v>
      </c>
      <c r="M178" s="25">
        <v>2.13</v>
      </c>
      <c r="N178" s="25">
        <v>7.4999999999999997E-2</v>
      </c>
      <c r="O178" s="33">
        <v>4.5999999999999999E-2</v>
      </c>
      <c r="P178" s="51">
        <f t="shared" si="54"/>
        <v>8.0013628800000003</v>
      </c>
      <c r="Q178" s="51">
        <f t="shared" si="55"/>
        <v>12</v>
      </c>
      <c r="R178" s="51">
        <f t="shared" si="56"/>
        <v>1.1793392</v>
      </c>
      <c r="S178" s="51">
        <f t="shared" si="57"/>
        <v>0.96615095999999989</v>
      </c>
      <c r="T178" s="51">
        <f t="shared" si="58"/>
        <v>3.4019399999999998E-2</v>
      </c>
      <c r="U178" s="51">
        <f t="shared" si="59"/>
        <v>2.0865232000000001E-2</v>
      </c>
      <c r="V178" s="32">
        <v>30.9</v>
      </c>
      <c r="W178" s="51">
        <f t="shared" si="60"/>
        <v>14.015992799999999</v>
      </c>
      <c r="X178" s="44">
        <v>57.1</v>
      </c>
      <c r="Y178" s="54">
        <v>0.55000000000000004</v>
      </c>
      <c r="Z178" s="47">
        <f t="shared" si="61"/>
        <v>0.24947560000000002</v>
      </c>
      <c r="AA178" s="1">
        <v>0.28999999999999998</v>
      </c>
      <c r="AB178" s="47">
        <f t="shared" si="62"/>
        <v>0.13154167999999999</v>
      </c>
      <c r="AC178" s="1">
        <v>6.9</v>
      </c>
      <c r="AD178" s="1">
        <v>0.24</v>
      </c>
      <c r="AE178" s="6">
        <v>0.15</v>
      </c>
    </row>
    <row r="179" spans="1:31">
      <c r="A179" s="3"/>
      <c r="C179" s="47" t="str">
        <f t="shared" si="53"/>
        <v/>
      </c>
      <c r="D179" s="15">
        <v>1600</v>
      </c>
      <c r="E179" s="47">
        <f t="shared" si="48"/>
        <v>725.74720000000002</v>
      </c>
      <c r="F179" s="15"/>
      <c r="G179" s="15"/>
      <c r="H179" s="1">
        <v>1.5</v>
      </c>
      <c r="I179" s="47">
        <f t="shared" si="49"/>
        <v>0.68038799999999999</v>
      </c>
      <c r="J179" s="32">
        <v>18.510000000000002</v>
      </c>
      <c r="K179" s="25">
        <v>12.6</v>
      </c>
      <c r="L179" s="25">
        <v>2.8</v>
      </c>
      <c r="M179" s="25">
        <v>2.19</v>
      </c>
      <c r="N179" s="25">
        <v>7.5999999999999998E-2</v>
      </c>
      <c r="O179" s="33">
        <v>4.8000000000000001E-2</v>
      </c>
      <c r="P179" s="51">
        <f t="shared" si="54"/>
        <v>8.3959879200000014</v>
      </c>
      <c r="Q179" s="51">
        <f t="shared" si="55"/>
        <v>12.6</v>
      </c>
      <c r="R179" s="51">
        <f t="shared" si="56"/>
        <v>1.2700575999999999</v>
      </c>
      <c r="S179" s="51">
        <f t="shared" si="57"/>
        <v>0.99336647999999994</v>
      </c>
      <c r="T179" s="51">
        <f t="shared" si="58"/>
        <v>3.4472992000000001E-2</v>
      </c>
      <c r="U179" s="51">
        <f t="shared" si="59"/>
        <v>2.1772415999999999E-2</v>
      </c>
      <c r="V179" s="32">
        <v>32.4</v>
      </c>
      <c r="W179" s="51">
        <f t="shared" si="60"/>
        <v>14.6963808</v>
      </c>
      <c r="X179" s="44">
        <v>57.1</v>
      </c>
      <c r="Y179" s="54">
        <v>0.55000000000000004</v>
      </c>
      <c r="Z179" s="47">
        <f t="shared" si="61"/>
        <v>0.24947560000000002</v>
      </c>
      <c r="AA179" s="1">
        <v>0.28999999999999998</v>
      </c>
      <c r="AB179" s="47">
        <f t="shared" si="62"/>
        <v>0.13154167999999999</v>
      </c>
      <c r="AC179" s="1">
        <v>6.8</v>
      </c>
      <c r="AD179" s="1">
        <v>0.24</v>
      </c>
      <c r="AE179" s="6">
        <v>0.15</v>
      </c>
    </row>
    <row r="180" spans="1:31">
      <c r="A180" s="3"/>
      <c r="C180" s="47" t="str">
        <f t="shared" si="53"/>
        <v/>
      </c>
      <c r="D180" s="15">
        <v>1700</v>
      </c>
      <c r="E180" s="47">
        <f t="shared" si="48"/>
        <v>771.10640000000001</v>
      </c>
      <c r="F180" s="15"/>
      <c r="G180" s="15"/>
      <c r="H180" s="1">
        <v>1.5</v>
      </c>
      <c r="I180" s="47">
        <f t="shared" si="49"/>
        <v>0.68038799999999999</v>
      </c>
      <c r="J180" s="32">
        <v>19.38</v>
      </c>
      <c r="K180" s="25">
        <v>13.2</v>
      </c>
      <c r="L180" s="25">
        <v>2.9</v>
      </c>
      <c r="M180" s="25">
        <v>2.25</v>
      </c>
      <c r="N180" s="25">
        <v>7.8E-2</v>
      </c>
      <c r="O180" s="33">
        <v>0.05</v>
      </c>
      <c r="P180" s="51">
        <f t="shared" si="54"/>
        <v>8.7906129599999989</v>
      </c>
      <c r="Q180" s="51">
        <f t="shared" si="55"/>
        <v>13.2</v>
      </c>
      <c r="R180" s="51">
        <f t="shared" si="56"/>
        <v>1.3154167999999999</v>
      </c>
      <c r="S180" s="51">
        <f t="shared" si="57"/>
        <v>1.0205820000000001</v>
      </c>
      <c r="T180" s="51">
        <f t="shared" si="58"/>
        <v>3.5380175999999999E-2</v>
      </c>
      <c r="U180" s="51">
        <f t="shared" si="59"/>
        <v>2.2679600000000001E-2</v>
      </c>
      <c r="V180" s="32">
        <v>33.9</v>
      </c>
      <c r="W180" s="51">
        <f t="shared" si="60"/>
        <v>15.376768799999999</v>
      </c>
      <c r="X180" s="44">
        <v>57.1</v>
      </c>
      <c r="Y180" s="54">
        <v>0.55000000000000004</v>
      </c>
      <c r="Z180" s="47">
        <f t="shared" si="61"/>
        <v>0.24947560000000002</v>
      </c>
      <c r="AA180" s="1">
        <v>0.28999999999999998</v>
      </c>
      <c r="AB180" s="47">
        <f t="shared" si="62"/>
        <v>0.13154167999999999</v>
      </c>
      <c r="AC180" s="1">
        <v>6.6</v>
      </c>
      <c r="AD180" s="1">
        <v>0.23</v>
      </c>
      <c r="AE180" s="6">
        <v>0.15</v>
      </c>
    </row>
    <row r="181" spans="1:31">
      <c r="A181" s="3"/>
      <c r="C181" s="47" t="str">
        <f t="shared" si="53"/>
        <v/>
      </c>
      <c r="D181" s="15">
        <v>1800</v>
      </c>
      <c r="E181" s="47">
        <f t="shared" si="48"/>
        <v>816.46559999999999</v>
      </c>
      <c r="F181" s="15"/>
      <c r="G181" s="15"/>
      <c r="H181" s="1">
        <v>1.5</v>
      </c>
      <c r="I181" s="47">
        <f t="shared" si="49"/>
        <v>0.68038799999999999</v>
      </c>
      <c r="J181" s="32">
        <v>20.239999999999998</v>
      </c>
      <c r="K181" s="25">
        <v>13.8</v>
      </c>
      <c r="L181" s="25">
        <v>3.1</v>
      </c>
      <c r="M181" s="25">
        <v>2.31</v>
      </c>
      <c r="N181" s="25">
        <v>0.08</v>
      </c>
      <c r="O181" s="33">
        <v>5.0999999999999997E-2</v>
      </c>
      <c r="P181" s="51">
        <f t="shared" si="54"/>
        <v>9.1807020799999997</v>
      </c>
      <c r="Q181" s="51">
        <f t="shared" si="55"/>
        <v>13.8</v>
      </c>
      <c r="R181" s="51">
        <f t="shared" si="56"/>
        <v>1.4061352</v>
      </c>
      <c r="S181" s="51">
        <f t="shared" si="57"/>
        <v>1.04779752</v>
      </c>
      <c r="T181" s="51">
        <f t="shared" si="58"/>
        <v>3.6287359999999998E-2</v>
      </c>
      <c r="U181" s="51">
        <f t="shared" si="59"/>
        <v>2.3133191999999997E-2</v>
      </c>
      <c r="V181" s="32">
        <v>35.4</v>
      </c>
      <c r="W181" s="51">
        <f t="shared" si="60"/>
        <v>16.057156799999998</v>
      </c>
      <c r="X181" s="44">
        <v>57.2</v>
      </c>
      <c r="Y181" s="54">
        <v>0.55000000000000004</v>
      </c>
      <c r="Z181" s="47">
        <f t="shared" si="61"/>
        <v>0.24947560000000002</v>
      </c>
      <c r="AA181" s="1">
        <v>0.3</v>
      </c>
      <c r="AB181" s="47">
        <f t="shared" si="62"/>
        <v>0.13607759999999999</v>
      </c>
      <c r="AC181" s="1">
        <v>6.5</v>
      </c>
      <c r="AD181" s="1">
        <v>0.23</v>
      </c>
      <c r="AE181" s="6">
        <v>0.15</v>
      </c>
    </row>
    <row r="182" spans="1:31">
      <c r="A182" s="3"/>
      <c r="C182" s="47" t="str">
        <f t="shared" si="53"/>
        <v/>
      </c>
      <c r="D182" s="1">
        <v>900</v>
      </c>
      <c r="E182" s="47">
        <f t="shared" si="48"/>
        <v>408.2328</v>
      </c>
      <c r="H182" s="1">
        <v>2</v>
      </c>
      <c r="I182" s="47">
        <f t="shared" si="49"/>
        <v>0.90718399999999999</v>
      </c>
      <c r="J182" s="32">
        <v>12.74</v>
      </c>
      <c r="K182" s="25">
        <v>8.1999999999999993</v>
      </c>
      <c r="L182" s="25">
        <v>2.6</v>
      </c>
      <c r="M182" s="25">
        <v>1.96</v>
      </c>
      <c r="N182" s="25">
        <v>7.6999999999999999E-2</v>
      </c>
      <c r="O182" s="33">
        <v>4.1000000000000002E-2</v>
      </c>
      <c r="P182" s="51">
        <f t="shared" si="54"/>
        <v>5.7787620799999999</v>
      </c>
      <c r="Q182" s="51">
        <f t="shared" si="55"/>
        <v>8.1999999999999993</v>
      </c>
      <c r="R182" s="51">
        <f t="shared" si="56"/>
        <v>1.1793392</v>
      </c>
      <c r="S182" s="51">
        <f t="shared" si="57"/>
        <v>0.88904032</v>
      </c>
      <c r="T182" s="51">
        <f t="shared" si="58"/>
        <v>3.4926583999999997E-2</v>
      </c>
      <c r="U182" s="51">
        <f t="shared" si="59"/>
        <v>1.8597272000000001E-2</v>
      </c>
      <c r="V182" s="32">
        <v>21.2</v>
      </c>
      <c r="W182" s="51">
        <f t="shared" si="60"/>
        <v>9.6161504000000004</v>
      </c>
      <c r="X182" s="44">
        <v>60.1</v>
      </c>
      <c r="Y182" s="54">
        <v>0.6</v>
      </c>
      <c r="Z182" s="47">
        <f t="shared" si="61"/>
        <v>0.27215519999999999</v>
      </c>
      <c r="AA182" s="1">
        <v>0.34</v>
      </c>
      <c r="AB182" s="47">
        <f t="shared" si="62"/>
        <v>0.15422128000000002</v>
      </c>
      <c r="AC182" s="1">
        <v>9.3000000000000007</v>
      </c>
      <c r="AD182" s="1">
        <v>0.36</v>
      </c>
      <c r="AE182" s="6">
        <v>0.19</v>
      </c>
    </row>
    <row r="183" spans="1:31">
      <c r="A183" s="3"/>
      <c r="C183" s="47" t="str">
        <f t="shared" si="53"/>
        <v/>
      </c>
      <c r="D183" s="15">
        <v>1000</v>
      </c>
      <c r="E183" s="47">
        <f t="shared" ref="E183:E221" si="63">IF(D183&gt;0,(D183*$B$1),"")</f>
        <v>453.59199999999998</v>
      </c>
      <c r="F183" s="15"/>
      <c r="G183" s="15"/>
      <c r="H183" s="1">
        <v>2</v>
      </c>
      <c r="I183" s="47">
        <f t="shared" ref="I183:I221" si="64">IF(H183&gt;0,(H183*$B$1),"")</f>
        <v>0.90718399999999999</v>
      </c>
      <c r="J183" s="32">
        <v>13.8</v>
      </c>
      <c r="K183" s="25">
        <v>8.9</v>
      </c>
      <c r="L183" s="25">
        <v>2.7</v>
      </c>
      <c r="M183" s="25">
        <v>2.02</v>
      </c>
      <c r="N183" s="25">
        <v>7.8E-2</v>
      </c>
      <c r="O183" s="33">
        <v>4.2000000000000003E-2</v>
      </c>
      <c r="P183" s="51">
        <f t="shared" si="54"/>
        <v>6.2595695999999998</v>
      </c>
      <c r="Q183" s="51">
        <f t="shared" si="55"/>
        <v>8.9</v>
      </c>
      <c r="R183" s="51">
        <f t="shared" si="56"/>
        <v>1.2246984000000001</v>
      </c>
      <c r="S183" s="51">
        <f t="shared" si="57"/>
        <v>0.91625584000000004</v>
      </c>
      <c r="T183" s="51">
        <f t="shared" si="58"/>
        <v>3.5380175999999999E-2</v>
      </c>
      <c r="U183" s="51">
        <f t="shared" si="59"/>
        <v>1.9050864000000001E-2</v>
      </c>
      <c r="V183" s="32">
        <v>22.9</v>
      </c>
      <c r="W183" s="51">
        <f t="shared" si="60"/>
        <v>10.387256799999999</v>
      </c>
      <c r="X183" s="44">
        <v>60.2</v>
      </c>
      <c r="Y183" s="54">
        <v>0.6</v>
      </c>
      <c r="Z183" s="47">
        <f t="shared" si="61"/>
        <v>0.27215519999999999</v>
      </c>
      <c r="AA183" s="1">
        <v>0.34</v>
      </c>
      <c r="AB183" s="47">
        <f t="shared" si="62"/>
        <v>0.15422128000000002</v>
      </c>
      <c r="AC183" s="1">
        <v>8.8000000000000007</v>
      </c>
      <c r="AD183" s="1">
        <v>0.34</v>
      </c>
      <c r="AE183" s="6">
        <v>0.18</v>
      </c>
    </row>
    <row r="184" spans="1:31">
      <c r="A184" s="3"/>
      <c r="C184" s="47" t="str">
        <f t="shared" si="53"/>
        <v/>
      </c>
      <c r="D184" s="15">
        <v>1100</v>
      </c>
      <c r="E184" s="47">
        <f t="shared" si="63"/>
        <v>498.95119999999997</v>
      </c>
      <c r="F184" s="15"/>
      <c r="G184" s="15"/>
      <c r="H184" s="1">
        <v>2</v>
      </c>
      <c r="I184" s="47">
        <f t="shared" si="64"/>
        <v>0.90718399999999999</v>
      </c>
      <c r="J184" s="32">
        <v>14.79</v>
      </c>
      <c r="K184" s="25">
        <v>9.5</v>
      </c>
      <c r="L184" s="25">
        <v>3</v>
      </c>
      <c r="M184" s="25">
        <v>2.08</v>
      </c>
      <c r="N184" s="25">
        <v>7.9000000000000001E-2</v>
      </c>
      <c r="O184" s="33">
        <v>4.3999999999999997E-2</v>
      </c>
      <c r="P184" s="51">
        <f t="shared" si="54"/>
        <v>6.7086256799999999</v>
      </c>
      <c r="Q184" s="51">
        <f t="shared" si="55"/>
        <v>9.5</v>
      </c>
      <c r="R184" s="51">
        <f t="shared" si="56"/>
        <v>1.360776</v>
      </c>
      <c r="S184" s="51">
        <f t="shared" si="57"/>
        <v>0.94347135999999998</v>
      </c>
      <c r="T184" s="51">
        <f t="shared" si="58"/>
        <v>3.5833768000000002E-2</v>
      </c>
      <c r="U184" s="51">
        <f t="shared" si="59"/>
        <v>1.9958047999999999E-2</v>
      </c>
      <c r="V184" s="32">
        <v>24.6</v>
      </c>
      <c r="W184" s="51">
        <f t="shared" si="60"/>
        <v>11.1583632</v>
      </c>
      <c r="X184" s="44">
        <v>60.1</v>
      </c>
      <c r="Y184" s="54">
        <v>0.6</v>
      </c>
      <c r="Z184" s="47">
        <f t="shared" si="61"/>
        <v>0.27215519999999999</v>
      </c>
      <c r="AA184" s="1">
        <v>0.34</v>
      </c>
      <c r="AB184" s="47">
        <f t="shared" si="62"/>
        <v>0.15422128000000002</v>
      </c>
      <c r="AC184" s="1">
        <v>8.4</v>
      </c>
      <c r="AD184" s="1">
        <v>0.32</v>
      </c>
      <c r="AE184" s="6">
        <v>0.18</v>
      </c>
    </row>
    <row r="185" spans="1:31">
      <c r="A185" s="3"/>
      <c r="C185" s="47" t="str">
        <f t="shared" si="53"/>
        <v/>
      </c>
      <c r="D185" s="15">
        <v>1200</v>
      </c>
      <c r="E185" s="47">
        <f t="shared" si="63"/>
        <v>544.31039999999996</v>
      </c>
      <c r="F185" s="15"/>
      <c r="G185" s="15"/>
      <c r="H185" s="1">
        <v>2</v>
      </c>
      <c r="I185" s="47">
        <f t="shared" si="64"/>
        <v>0.90718399999999999</v>
      </c>
      <c r="J185" s="32">
        <v>15.82</v>
      </c>
      <c r="K185" s="25">
        <v>10.199999999999999</v>
      </c>
      <c r="L185" s="25">
        <v>3.2</v>
      </c>
      <c r="M185" s="25">
        <v>2.13</v>
      </c>
      <c r="N185" s="25">
        <v>0.08</v>
      </c>
      <c r="O185" s="33">
        <v>4.4999999999999998E-2</v>
      </c>
      <c r="P185" s="51">
        <f t="shared" si="54"/>
        <v>7.1758254399999997</v>
      </c>
      <c r="Q185" s="51">
        <f t="shared" si="55"/>
        <v>10.199999999999999</v>
      </c>
      <c r="R185" s="51">
        <f t="shared" si="56"/>
        <v>1.4514944000000001</v>
      </c>
      <c r="S185" s="51">
        <f t="shared" si="57"/>
        <v>0.96615095999999989</v>
      </c>
      <c r="T185" s="51">
        <f t="shared" si="58"/>
        <v>3.6287359999999998E-2</v>
      </c>
      <c r="U185" s="51">
        <f t="shared" si="59"/>
        <v>2.0411639999999998E-2</v>
      </c>
      <c r="V185" s="32">
        <v>26.3</v>
      </c>
      <c r="W185" s="51">
        <f t="shared" si="60"/>
        <v>11.929469600000001</v>
      </c>
      <c r="X185" s="44">
        <v>60.2</v>
      </c>
      <c r="Y185" s="54">
        <v>0.6</v>
      </c>
      <c r="Z185" s="47">
        <f t="shared" si="61"/>
        <v>0.27215519999999999</v>
      </c>
      <c r="AA185" s="1">
        <v>0.34</v>
      </c>
      <c r="AB185" s="47">
        <f t="shared" si="62"/>
        <v>0.15422128000000002</v>
      </c>
      <c r="AC185" s="1">
        <v>8.1</v>
      </c>
      <c r="AD185" s="1">
        <v>0.3</v>
      </c>
      <c r="AE185" s="6">
        <v>0.17</v>
      </c>
    </row>
    <row r="186" spans="1:31">
      <c r="A186" s="3"/>
      <c r="C186" s="47" t="str">
        <f t="shared" si="53"/>
        <v/>
      </c>
      <c r="D186" s="15">
        <v>1300</v>
      </c>
      <c r="E186" s="47">
        <f t="shared" si="63"/>
        <v>589.66959999999995</v>
      </c>
      <c r="F186" s="15"/>
      <c r="G186" s="15"/>
      <c r="H186" s="1">
        <v>2</v>
      </c>
      <c r="I186" s="47">
        <f t="shared" si="64"/>
        <v>0.90718399999999999</v>
      </c>
      <c r="J186" s="32">
        <v>16.79</v>
      </c>
      <c r="K186" s="25">
        <v>10.8</v>
      </c>
      <c r="L186" s="25">
        <v>3.4</v>
      </c>
      <c r="M186" s="25">
        <v>2.19</v>
      </c>
      <c r="N186" s="25">
        <v>8.1000000000000003E-2</v>
      </c>
      <c r="O186" s="33">
        <v>4.7E-2</v>
      </c>
      <c r="P186" s="51">
        <f t="shared" si="54"/>
        <v>7.6158096799999999</v>
      </c>
      <c r="Q186" s="51">
        <f t="shared" si="55"/>
        <v>10.8</v>
      </c>
      <c r="R186" s="51">
        <f t="shared" si="56"/>
        <v>1.5422127999999999</v>
      </c>
      <c r="S186" s="51">
        <f t="shared" si="57"/>
        <v>0.99336647999999994</v>
      </c>
      <c r="T186" s="51">
        <f t="shared" si="58"/>
        <v>3.6740952E-2</v>
      </c>
      <c r="U186" s="51">
        <f t="shared" si="59"/>
        <v>2.1318824E-2</v>
      </c>
      <c r="V186" s="32">
        <v>27.9</v>
      </c>
      <c r="W186" s="51">
        <f t="shared" si="60"/>
        <v>12.6552168</v>
      </c>
      <c r="X186" s="44">
        <v>60.1</v>
      </c>
      <c r="Y186" s="54">
        <v>0.6</v>
      </c>
      <c r="Z186" s="47">
        <f t="shared" si="61"/>
        <v>0.27215519999999999</v>
      </c>
      <c r="AA186" s="1">
        <v>0.34</v>
      </c>
      <c r="AB186" s="47">
        <f t="shared" si="62"/>
        <v>0.15422128000000002</v>
      </c>
      <c r="AC186" s="1">
        <v>7.8</v>
      </c>
      <c r="AD186" s="1">
        <v>0.28999999999999998</v>
      </c>
      <c r="AE186" s="6">
        <v>0.17</v>
      </c>
    </row>
    <row r="187" spans="1:31">
      <c r="A187" s="3"/>
      <c r="C187" s="47" t="str">
        <f t="shared" si="53"/>
        <v/>
      </c>
      <c r="D187" s="15">
        <v>1400</v>
      </c>
      <c r="E187" s="47">
        <f t="shared" si="63"/>
        <v>635.02880000000005</v>
      </c>
      <c r="F187" s="15"/>
      <c r="G187" s="15"/>
      <c r="H187" s="1">
        <v>2</v>
      </c>
      <c r="I187" s="47">
        <f t="shared" si="64"/>
        <v>0.90718399999999999</v>
      </c>
      <c r="J187" s="32">
        <v>17.739999999999998</v>
      </c>
      <c r="K187" s="25">
        <v>11.4</v>
      </c>
      <c r="L187" s="25">
        <v>3.6</v>
      </c>
      <c r="M187" s="25">
        <v>2.2400000000000002</v>
      </c>
      <c r="N187" s="25">
        <v>8.2000000000000003E-2</v>
      </c>
      <c r="O187" s="33">
        <v>4.8000000000000001E-2</v>
      </c>
      <c r="P187" s="51">
        <f t="shared" si="54"/>
        <v>8.0467220799999986</v>
      </c>
      <c r="Q187" s="51">
        <f t="shared" si="55"/>
        <v>11.4</v>
      </c>
      <c r="R187" s="51">
        <f t="shared" si="56"/>
        <v>1.6329312</v>
      </c>
      <c r="S187" s="51">
        <f t="shared" si="57"/>
        <v>1.0160460800000002</v>
      </c>
      <c r="T187" s="51">
        <f t="shared" si="58"/>
        <v>3.7194544000000003E-2</v>
      </c>
      <c r="U187" s="51">
        <f t="shared" si="59"/>
        <v>2.1772415999999999E-2</v>
      </c>
      <c r="V187" s="32">
        <v>29.5</v>
      </c>
      <c r="W187" s="51">
        <f t="shared" si="60"/>
        <v>13.380964000000001</v>
      </c>
      <c r="X187" s="44">
        <v>60.1</v>
      </c>
      <c r="Y187" s="54">
        <v>0.6</v>
      </c>
      <c r="Z187" s="47">
        <f t="shared" si="61"/>
        <v>0.27215519999999999</v>
      </c>
      <c r="AA187" s="1">
        <v>0.34</v>
      </c>
      <c r="AB187" s="47">
        <f t="shared" si="62"/>
        <v>0.15422128000000002</v>
      </c>
      <c r="AC187" s="1">
        <v>7.6</v>
      </c>
      <c r="AD187" s="1">
        <v>0.28000000000000003</v>
      </c>
      <c r="AE187" s="6">
        <v>0.16</v>
      </c>
    </row>
    <row r="188" spans="1:31">
      <c r="A188" s="3"/>
      <c r="C188" s="47" t="str">
        <f t="shared" si="53"/>
        <v/>
      </c>
      <c r="D188" s="15">
        <v>1500</v>
      </c>
      <c r="E188" s="47">
        <f t="shared" si="63"/>
        <v>680.38800000000003</v>
      </c>
      <c r="F188" s="15"/>
      <c r="G188" s="15"/>
      <c r="H188" s="1">
        <v>2</v>
      </c>
      <c r="I188" s="47">
        <f t="shared" si="64"/>
        <v>0.90718399999999999</v>
      </c>
      <c r="J188" s="32">
        <v>18.670000000000002</v>
      </c>
      <c r="K188" s="25">
        <v>12</v>
      </c>
      <c r="L188" s="25">
        <v>3.8</v>
      </c>
      <c r="M188" s="25">
        <v>2.29</v>
      </c>
      <c r="N188" s="25">
        <v>8.4000000000000005E-2</v>
      </c>
      <c r="O188" s="33">
        <v>0.05</v>
      </c>
      <c r="P188" s="51">
        <f t="shared" si="54"/>
        <v>8.46856264</v>
      </c>
      <c r="Q188" s="51">
        <f t="shared" si="55"/>
        <v>12</v>
      </c>
      <c r="R188" s="51">
        <f t="shared" si="56"/>
        <v>1.7236495999999999</v>
      </c>
      <c r="S188" s="51">
        <f t="shared" si="57"/>
        <v>1.03872568</v>
      </c>
      <c r="T188" s="51">
        <f t="shared" si="58"/>
        <v>3.8101728000000001E-2</v>
      </c>
      <c r="U188" s="51">
        <f t="shared" si="59"/>
        <v>2.2679600000000001E-2</v>
      </c>
      <c r="V188" s="32">
        <v>31.1</v>
      </c>
      <c r="W188" s="51">
        <f t="shared" si="60"/>
        <v>14.106711200000001</v>
      </c>
      <c r="X188" s="44">
        <v>60.1</v>
      </c>
      <c r="Y188" s="54">
        <v>0.6</v>
      </c>
      <c r="Z188" s="47">
        <f t="shared" si="61"/>
        <v>0.27215519999999999</v>
      </c>
      <c r="AA188" s="1">
        <v>0.34</v>
      </c>
      <c r="AB188" s="47">
        <f t="shared" si="62"/>
        <v>0.15422128000000002</v>
      </c>
      <c r="AC188" s="1">
        <v>7.4</v>
      </c>
      <c r="AD188" s="1">
        <v>0.27</v>
      </c>
      <c r="AE188" s="6">
        <v>0.16</v>
      </c>
    </row>
    <row r="189" spans="1:31">
      <c r="A189" s="3"/>
      <c r="C189" s="47" t="str">
        <f t="shared" si="53"/>
        <v/>
      </c>
      <c r="D189" s="15">
        <v>1600</v>
      </c>
      <c r="E189" s="47">
        <f t="shared" si="63"/>
        <v>725.74720000000002</v>
      </c>
      <c r="F189" s="15"/>
      <c r="G189" s="15"/>
      <c r="H189" s="1">
        <v>2</v>
      </c>
      <c r="I189" s="47">
        <f t="shared" si="64"/>
        <v>0.90718399999999999</v>
      </c>
      <c r="J189" s="32">
        <v>19.600000000000001</v>
      </c>
      <c r="K189" s="25">
        <v>12.6</v>
      </c>
      <c r="L189" s="25">
        <v>3.9</v>
      </c>
      <c r="M189" s="25">
        <v>2.34</v>
      </c>
      <c r="N189" s="25">
        <v>8.5000000000000006E-2</v>
      </c>
      <c r="O189" s="33">
        <v>5.0999999999999997E-2</v>
      </c>
      <c r="P189" s="51">
        <f t="shared" si="54"/>
        <v>8.8904031999999997</v>
      </c>
      <c r="Q189" s="51">
        <f t="shared" si="55"/>
        <v>12.6</v>
      </c>
      <c r="R189" s="51">
        <f t="shared" si="56"/>
        <v>1.7690087999999999</v>
      </c>
      <c r="S189" s="51">
        <f t="shared" si="57"/>
        <v>1.06140528</v>
      </c>
      <c r="T189" s="51">
        <f t="shared" si="58"/>
        <v>3.8555320000000004E-2</v>
      </c>
      <c r="U189" s="51">
        <f t="shared" si="59"/>
        <v>2.3133191999999997E-2</v>
      </c>
      <c r="V189" s="32">
        <v>32.6</v>
      </c>
      <c r="W189" s="51">
        <f t="shared" si="60"/>
        <v>14.7870992</v>
      </c>
      <c r="X189" s="44">
        <v>60.1</v>
      </c>
      <c r="Y189" s="54">
        <v>0.6</v>
      </c>
      <c r="Z189" s="47">
        <f t="shared" si="61"/>
        <v>0.27215519999999999</v>
      </c>
      <c r="AA189" s="1">
        <v>0.34</v>
      </c>
      <c r="AB189" s="47">
        <f t="shared" si="62"/>
        <v>0.15422128000000002</v>
      </c>
      <c r="AC189" s="1">
        <v>7.2</v>
      </c>
      <c r="AD189" s="1">
        <v>0.26</v>
      </c>
      <c r="AE189" s="6">
        <v>0.16</v>
      </c>
    </row>
    <row r="190" spans="1:31">
      <c r="A190" s="3"/>
      <c r="C190" s="47" t="str">
        <f t="shared" si="53"/>
        <v/>
      </c>
      <c r="D190" s="15">
        <v>1700</v>
      </c>
      <c r="E190" s="47">
        <f t="shared" si="63"/>
        <v>771.10640000000001</v>
      </c>
      <c r="F190" s="15"/>
      <c r="G190" s="15"/>
      <c r="H190" s="1">
        <v>2</v>
      </c>
      <c r="I190" s="47">
        <f t="shared" si="64"/>
        <v>0.90718399999999999</v>
      </c>
      <c r="J190" s="32">
        <v>20.52</v>
      </c>
      <c r="K190" s="25">
        <v>13.2</v>
      </c>
      <c r="L190" s="25">
        <v>4.0999999999999996</v>
      </c>
      <c r="M190" s="25">
        <v>2.39</v>
      </c>
      <c r="N190" s="25">
        <v>8.5999999999999993E-2</v>
      </c>
      <c r="O190" s="33">
        <v>5.2999999999999999E-2</v>
      </c>
      <c r="P190" s="51">
        <f t="shared" si="54"/>
        <v>9.3077078399999991</v>
      </c>
      <c r="Q190" s="51">
        <f t="shared" si="55"/>
        <v>13.2</v>
      </c>
      <c r="R190" s="51">
        <f t="shared" si="56"/>
        <v>1.8597271999999998</v>
      </c>
      <c r="S190" s="51">
        <f t="shared" si="57"/>
        <v>1.08408488</v>
      </c>
      <c r="T190" s="51">
        <f t="shared" si="58"/>
        <v>3.9008912E-2</v>
      </c>
      <c r="U190" s="51">
        <f t="shared" si="59"/>
        <v>2.4040375999999999E-2</v>
      </c>
      <c r="V190" s="32">
        <v>34.1</v>
      </c>
      <c r="W190" s="51">
        <f t="shared" si="60"/>
        <v>15.467487200000001</v>
      </c>
      <c r="X190" s="44">
        <v>60.1</v>
      </c>
      <c r="Y190" s="54">
        <v>0.6</v>
      </c>
      <c r="Z190" s="47">
        <f t="shared" si="61"/>
        <v>0.27215519999999999</v>
      </c>
      <c r="AA190" s="1">
        <v>0.34</v>
      </c>
      <c r="AB190" s="47">
        <f t="shared" si="62"/>
        <v>0.15422128000000002</v>
      </c>
      <c r="AC190" s="1">
        <v>7</v>
      </c>
      <c r="AD190" s="1">
        <v>0.25</v>
      </c>
      <c r="AE190" s="6">
        <v>0.16</v>
      </c>
    </row>
    <row r="191" spans="1:31">
      <c r="A191" s="3"/>
      <c r="C191" s="47" t="str">
        <f t="shared" si="53"/>
        <v/>
      </c>
      <c r="D191" s="15">
        <v>1800</v>
      </c>
      <c r="E191" s="47">
        <f t="shared" si="63"/>
        <v>816.46559999999999</v>
      </c>
      <c r="F191" s="15"/>
      <c r="G191" s="15"/>
      <c r="H191" s="1">
        <v>2</v>
      </c>
      <c r="I191" s="47">
        <f t="shared" si="64"/>
        <v>0.90718399999999999</v>
      </c>
      <c r="J191" s="32">
        <v>21.43</v>
      </c>
      <c r="K191" s="25">
        <v>13.8</v>
      </c>
      <c r="L191" s="25">
        <v>4.3</v>
      </c>
      <c r="M191" s="25">
        <v>2.44</v>
      </c>
      <c r="N191" s="25">
        <v>8.7999999999999995E-2</v>
      </c>
      <c r="O191" s="33">
        <v>5.5E-2</v>
      </c>
      <c r="P191" s="51">
        <f t="shared" si="54"/>
        <v>9.7204765599999998</v>
      </c>
      <c r="Q191" s="51">
        <f t="shared" si="55"/>
        <v>13.8</v>
      </c>
      <c r="R191" s="51">
        <f t="shared" si="56"/>
        <v>1.9504455999999999</v>
      </c>
      <c r="S191" s="51">
        <f t="shared" si="57"/>
        <v>1.1067644800000001</v>
      </c>
      <c r="T191" s="51">
        <f t="shared" si="58"/>
        <v>3.9916095999999998E-2</v>
      </c>
      <c r="U191" s="51">
        <f t="shared" si="59"/>
        <v>2.4947560000000001E-2</v>
      </c>
      <c r="V191" s="32">
        <v>35.6</v>
      </c>
      <c r="W191" s="51">
        <f t="shared" si="60"/>
        <v>16.147875200000001</v>
      </c>
      <c r="X191" s="44">
        <v>60.1</v>
      </c>
      <c r="Y191" s="54">
        <v>0.6</v>
      </c>
      <c r="Z191" s="47">
        <f t="shared" si="61"/>
        <v>0.27215519999999999</v>
      </c>
      <c r="AA191" s="1">
        <v>0.34</v>
      </c>
      <c r="AB191" s="47">
        <f t="shared" si="62"/>
        <v>0.15422128000000002</v>
      </c>
      <c r="AC191" s="1">
        <v>6.9</v>
      </c>
      <c r="AD191" s="1">
        <v>0.25</v>
      </c>
      <c r="AE191" s="6">
        <v>0.15</v>
      </c>
    </row>
    <row r="192" spans="1:31">
      <c r="A192" s="3"/>
      <c r="C192" s="47" t="str">
        <f t="shared" si="53"/>
        <v/>
      </c>
      <c r="D192" s="1">
        <v>900</v>
      </c>
      <c r="E192" s="47">
        <f t="shared" si="63"/>
        <v>408.2328</v>
      </c>
      <c r="H192" s="1">
        <v>2.5</v>
      </c>
      <c r="I192" s="47">
        <f t="shared" si="64"/>
        <v>1.13398</v>
      </c>
      <c r="J192" s="32">
        <v>13.41</v>
      </c>
      <c r="K192" s="25">
        <v>8.1999999999999993</v>
      </c>
      <c r="L192" s="25">
        <v>3.2</v>
      </c>
      <c r="M192" s="25">
        <v>2.17</v>
      </c>
      <c r="N192" s="25">
        <v>8.8999999999999996E-2</v>
      </c>
      <c r="O192" s="33">
        <v>4.4999999999999998E-2</v>
      </c>
      <c r="P192" s="51">
        <f t="shared" si="54"/>
        <v>6.08266872</v>
      </c>
      <c r="Q192" s="51">
        <f t="shared" si="55"/>
        <v>8.1999999999999993</v>
      </c>
      <c r="R192" s="51">
        <f t="shared" si="56"/>
        <v>1.4514944000000001</v>
      </c>
      <c r="S192" s="51">
        <f t="shared" si="57"/>
        <v>0.98429464</v>
      </c>
      <c r="T192" s="51">
        <f t="shared" si="58"/>
        <v>4.0369688000000001E-2</v>
      </c>
      <c r="U192" s="51">
        <f t="shared" si="59"/>
        <v>2.0411639999999998E-2</v>
      </c>
      <c r="V192" s="32">
        <v>21.2</v>
      </c>
      <c r="W192" s="51">
        <f t="shared" si="60"/>
        <v>9.6161504000000004</v>
      </c>
      <c r="X192" s="44">
        <v>63.3</v>
      </c>
      <c r="Y192" s="54">
        <v>0.64</v>
      </c>
      <c r="Z192" s="47">
        <f t="shared" si="61"/>
        <v>0.29029887999999998</v>
      </c>
      <c r="AA192" s="1">
        <v>0.38</v>
      </c>
      <c r="AB192" s="47">
        <f t="shared" si="62"/>
        <v>0.17236496000000001</v>
      </c>
      <c r="AC192" s="1">
        <v>10.199999999999999</v>
      </c>
      <c r="AD192" s="1">
        <v>0.42</v>
      </c>
      <c r="AE192" s="6">
        <v>0.21</v>
      </c>
    </row>
    <row r="193" spans="1:31">
      <c r="A193" s="3"/>
      <c r="C193" s="47" t="str">
        <f t="shared" si="53"/>
        <v/>
      </c>
      <c r="D193" s="15">
        <v>1000</v>
      </c>
      <c r="E193" s="47">
        <f t="shared" si="63"/>
        <v>453.59199999999998</v>
      </c>
      <c r="F193" s="15"/>
      <c r="G193" s="15"/>
      <c r="H193" s="1">
        <v>2.5</v>
      </c>
      <c r="I193" s="47">
        <f t="shared" si="64"/>
        <v>1.13398</v>
      </c>
      <c r="J193" s="32">
        <v>14.52</v>
      </c>
      <c r="K193" s="25">
        <v>8.9</v>
      </c>
      <c r="L193" s="25">
        <v>3.5</v>
      </c>
      <c r="M193" s="25">
        <v>2.21</v>
      </c>
      <c r="N193" s="25">
        <v>8.8999999999999996E-2</v>
      </c>
      <c r="O193" s="33">
        <v>4.7E-2</v>
      </c>
      <c r="P193" s="51">
        <f t="shared" si="54"/>
        <v>6.58615584</v>
      </c>
      <c r="Q193" s="51">
        <f t="shared" si="55"/>
        <v>8.9</v>
      </c>
      <c r="R193" s="51">
        <f t="shared" si="56"/>
        <v>1.587572</v>
      </c>
      <c r="S193" s="51">
        <f t="shared" si="57"/>
        <v>1.00243832</v>
      </c>
      <c r="T193" s="51">
        <f t="shared" si="58"/>
        <v>4.0369688000000001E-2</v>
      </c>
      <c r="U193" s="51">
        <f t="shared" si="59"/>
        <v>2.1318824E-2</v>
      </c>
      <c r="V193" s="32">
        <v>22.9</v>
      </c>
      <c r="W193" s="51">
        <f t="shared" si="60"/>
        <v>10.387256799999999</v>
      </c>
      <c r="X193" s="44">
        <v>63.3</v>
      </c>
      <c r="Y193" s="54">
        <v>0.65</v>
      </c>
      <c r="Z193" s="47">
        <f t="shared" si="61"/>
        <v>0.29483480000000001</v>
      </c>
      <c r="AA193" s="1">
        <v>0.38</v>
      </c>
      <c r="AB193" s="47">
        <f t="shared" si="62"/>
        <v>0.17236496000000001</v>
      </c>
      <c r="AC193" s="1">
        <v>9.6999999999999993</v>
      </c>
      <c r="AD193" s="1">
        <v>0.39</v>
      </c>
      <c r="AE193" s="6">
        <v>0.2</v>
      </c>
    </row>
    <row r="194" spans="1:31">
      <c r="A194" s="3"/>
      <c r="C194" s="47" t="str">
        <f t="shared" si="53"/>
        <v/>
      </c>
      <c r="D194" s="15">
        <v>1100</v>
      </c>
      <c r="E194" s="47">
        <f t="shared" si="63"/>
        <v>498.95119999999997</v>
      </c>
      <c r="F194" s="15"/>
      <c r="G194" s="15"/>
      <c r="H194" s="1">
        <v>2.5</v>
      </c>
      <c r="I194" s="47">
        <f t="shared" si="64"/>
        <v>1.13398</v>
      </c>
      <c r="J194" s="32">
        <v>15.56</v>
      </c>
      <c r="K194" s="25">
        <v>9.5</v>
      </c>
      <c r="L194" s="25">
        <v>3.7</v>
      </c>
      <c r="M194" s="25">
        <v>2.2599999999999998</v>
      </c>
      <c r="N194" s="25">
        <v>0.09</v>
      </c>
      <c r="O194" s="33">
        <v>4.8000000000000001E-2</v>
      </c>
      <c r="P194" s="51">
        <f t="shared" si="54"/>
        <v>7.0578915200000001</v>
      </c>
      <c r="Q194" s="51">
        <f t="shared" si="55"/>
        <v>9.5</v>
      </c>
      <c r="R194" s="51">
        <f t="shared" si="56"/>
        <v>1.6782904000000001</v>
      </c>
      <c r="S194" s="51">
        <f t="shared" si="57"/>
        <v>1.0251179199999998</v>
      </c>
      <c r="T194" s="51">
        <f t="shared" si="58"/>
        <v>4.0823279999999997E-2</v>
      </c>
      <c r="U194" s="51">
        <f t="shared" si="59"/>
        <v>2.1772415999999999E-2</v>
      </c>
      <c r="V194" s="32">
        <v>24.6</v>
      </c>
      <c r="W194" s="51">
        <f t="shared" si="60"/>
        <v>11.1583632</v>
      </c>
      <c r="X194" s="44">
        <v>63.2</v>
      </c>
      <c r="Y194" s="54">
        <v>0.64</v>
      </c>
      <c r="Z194" s="47">
        <f t="shared" si="61"/>
        <v>0.29029887999999998</v>
      </c>
      <c r="AA194" s="1">
        <v>0.38</v>
      </c>
      <c r="AB194" s="47">
        <f t="shared" si="62"/>
        <v>0.17236496000000001</v>
      </c>
      <c r="AC194" s="1">
        <v>9.1999999999999993</v>
      </c>
      <c r="AD194" s="1">
        <v>0.36</v>
      </c>
      <c r="AE194" s="6">
        <v>0.19</v>
      </c>
    </row>
    <row r="195" spans="1:31">
      <c r="A195" s="3"/>
      <c r="C195" s="47" t="str">
        <f t="shared" si="53"/>
        <v/>
      </c>
      <c r="D195" s="15">
        <v>1200</v>
      </c>
      <c r="E195" s="47">
        <f t="shared" si="63"/>
        <v>544.31039999999996</v>
      </c>
      <c r="F195" s="15"/>
      <c r="G195" s="15"/>
      <c r="H195" s="1">
        <v>2.5</v>
      </c>
      <c r="I195" s="47">
        <f t="shared" si="64"/>
        <v>1.13398</v>
      </c>
      <c r="J195" s="32">
        <v>16.649999999999999</v>
      </c>
      <c r="K195" s="25">
        <v>10.199999999999999</v>
      </c>
      <c r="L195" s="25">
        <v>4</v>
      </c>
      <c r="M195" s="25">
        <v>2.31</v>
      </c>
      <c r="N195" s="25">
        <v>0.09</v>
      </c>
      <c r="O195" s="33">
        <v>4.9000000000000002E-2</v>
      </c>
      <c r="P195" s="51">
        <f t="shared" si="54"/>
        <v>7.5523067999999993</v>
      </c>
      <c r="Q195" s="51">
        <f t="shared" si="55"/>
        <v>10.199999999999999</v>
      </c>
      <c r="R195" s="51">
        <f t="shared" si="56"/>
        <v>1.814368</v>
      </c>
      <c r="S195" s="51">
        <f t="shared" si="57"/>
        <v>1.04779752</v>
      </c>
      <c r="T195" s="51">
        <f t="shared" si="58"/>
        <v>4.0823279999999997E-2</v>
      </c>
      <c r="U195" s="51">
        <f t="shared" si="59"/>
        <v>2.2226008000000002E-2</v>
      </c>
      <c r="V195" s="32">
        <v>26.3</v>
      </c>
      <c r="W195" s="51">
        <f t="shared" si="60"/>
        <v>11.929469600000001</v>
      </c>
      <c r="X195" s="44">
        <v>63.3</v>
      </c>
      <c r="Y195" s="54">
        <v>0.65</v>
      </c>
      <c r="Z195" s="47">
        <f t="shared" si="61"/>
        <v>0.29483480000000001</v>
      </c>
      <c r="AA195" s="1">
        <v>0.38</v>
      </c>
      <c r="AB195" s="47">
        <f t="shared" si="62"/>
        <v>0.17236496000000001</v>
      </c>
      <c r="AC195" s="1">
        <v>8.8000000000000007</v>
      </c>
      <c r="AD195" s="1">
        <v>0.34</v>
      </c>
      <c r="AE195" s="6">
        <v>0.19</v>
      </c>
    </row>
    <row r="196" spans="1:31">
      <c r="A196" s="3"/>
      <c r="C196" s="47" t="str">
        <f t="shared" si="53"/>
        <v/>
      </c>
      <c r="D196" s="15">
        <v>1300</v>
      </c>
      <c r="E196" s="47">
        <f t="shared" si="63"/>
        <v>589.66959999999995</v>
      </c>
      <c r="F196" s="15"/>
      <c r="G196" s="15"/>
      <c r="H196" s="1">
        <v>2.5</v>
      </c>
      <c r="I196" s="47">
        <f t="shared" si="64"/>
        <v>1.13398</v>
      </c>
      <c r="J196" s="32">
        <v>17.66</v>
      </c>
      <c r="K196" s="25">
        <v>10.8</v>
      </c>
      <c r="L196" s="25">
        <v>4.2</v>
      </c>
      <c r="M196" s="25">
        <v>2.35</v>
      </c>
      <c r="N196" s="25">
        <v>9.0999999999999998E-2</v>
      </c>
      <c r="O196" s="33">
        <v>5.0999999999999997E-2</v>
      </c>
      <c r="P196" s="51">
        <f t="shared" si="54"/>
        <v>8.0104347199999992</v>
      </c>
      <c r="Q196" s="51">
        <f t="shared" si="55"/>
        <v>10.8</v>
      </c>
      <c r="R196" s="51">
        <f t="shared" si="56"/>
        <v>1.9050864000000001</v>
      </c>
      <c r="S196" s="51">
        <f t="shared" si="57"/>
        <v>1.0659411999999999</v>
      </c>
      <c r="T196" s="51">
        <f t="shared" si="58"/>
        <v>4.1276871999999999E-2</v>
      </c>
      <c r="U196" s="51">
        <f t="shared" si="59"/>
        <v>2.3133191999999997E-2</v>
      </c>
      <c r="V196" s="32">
        <v>27.9</v>
      </c>
      <c r="W196" s="51">
        <f t="shared" si="60"/>
        <v>12.6552168</v>
      </c>
      <c r="X196" s="44">
        <v>63.3</v>
      </c>
      <c r="Y196" s="54">
        <v>0.64</v>
      </c>
      <c r="Z196" s="47">
        <f t="shared" si="61"/>
        <v>0.29029887999999998</v>
      </c>
      <c r="AA196" s="1">
        <v>0.38</v>
      </c>
      <c r="AB196" s="47">
        <f t="shared" si="62"/>
        <v>0.17236496000000001</v>
      </c>
      <c r="AC196" s="1">
        <v>8.4</v>
      </c>
      <c r="AD196" s="1">
        <v>0.33</v>
      </c>
      <c r="AE196" s="6">
        <v>0.18</v>
      </c>
    </row>
    <row r="197" spans="1:31">
      <c r="A197" s="3"/>
      <c r="C197" s="47" t="str">
        <f t="shared" si="53"/>
        <v/>
      </c>
      <c r="D197" s="15">
        <v>1400</v>
      </c>
      <c r="E197" s="47">
        <f t="shared" si="63"/>
        <v>635.02880000000005</v>
      </c>
      <c r="F197" s="15"/>
      <c r="G197" s="15"/>
      <c r="H197" s="1">
        <v>2.5</v>
      </c>
      <c r="I197" s="47">
        <f t="shared" si="64"/>
        <v>1.13398</v>
      </c>
      <c r="J197" s="32">
        <v>18.66</v>
      </c>
      <c r="K197" s="25">
        <v>11.4</v>
      </c>
      <c r="L197" s="25">
        <v>4.4000000000000004</v>
      </c>
      <c r="M197" s="25">
        <v>2.4</v>
      </c>
      <c r="N197" s="25">
        <v>9.1999999999999998E-2</v>
      </c>
      <c r="O197" s="33">
        <v>5.1999999999999998E-2</v>
      </c>
      <c r="P197" s="51">
        <f t="shared" si="54"/>
        <v>8.4640267199999997</v>
      </c>
      <c r="Q197" s="51">
        <f t="shared" si="55"/>
        <v>11.4</v>
      </c>
      <c r="R197" s="51">
        <f t="shared" si="56"/>
        <v>1.9958048000000002</v>
      </c>
      <c r="S197" s="51">
        <f t="shared" si="57"/>
        <v>1.0886207999999999</v>
      </c>
      <c r="T197" s="51">
        <f t="shared" si="58"/>
        <v>4.1730464000000002E-2</v>
      </c>
      <c r="U197" s="51">
        <f t="shared" si="59"/>
        <v>2.3586784E-2</v>
      </c>
      <c r="V197" s="32">
        <v>29.5</v>
      </c>
      <c r="W197" s="51">
        <f t="shared" si="60"/>
        <v>13.380964000000001</v>
      </c>
      <c r="X197" s="44">
        <v>63.2</v>
      </c>
      <c r="Y197" s="54">
        <v>0.64</v>
      </c>
      <c r="Z197" s="47">
        <f t="shared" si="61"/>
        <v>0.29029887999999998</v>
      </c>
      <c r="AA197" s="1">
        <v>0.38</v>
      </c>
      <c r="AB197" s="47">
        <f t="shared" si="62"/>
        <v>0.17236496000000001</v>
      </c>
      <c r="AC197" s="1">
        <v>8.1</v>
      </c>
      <c r="AD197" s="1">
        <v>0.31</v>
      </c>
      <c r="AE197" s="6">
        <v>0.18</v>
      </c>
    </row>
    <row r="198" spans="1:31">
      <c r="A198" s="3"/>
      <c r="C198" s="47" t="str">
        <f t="shared" si="53"/>
        <v/>
      </c>
      <c r="D198" s="15">
        <v>1500</v>
      </c>
      <c r="E198" s="47">
        <f t="shared" si="63"/>
        <v>680.38800000000003</v>
      </c>
      <c r="F198" s="15"/>
      <c r="G198" s="15"/>
      <c r="H198" s="1">
        <v>2.5</v>
      </c>
      <c r="I198" s="47">
        <f t="shared" si="64"/>
        <v>1.13398</v>
      </c>
      <c r="J198" s="32">
        <v>19.64</v>
      </c>
      <c r="K198" s="25">
        <v>12</v>
      </c>
      <c r="L198" s="25">
        <v>4.7</v>
      </c>
      <c r="M198" s="25">
        <v>2.44</v>
      </c>
      <c r="N198" s="25">
        <v>9.2999999999999999E-2</v>
      </c>
      <c r="O198" s="33">
        <v>5.2999999999999999E-2</v>
      </c>
      <c r="P198" s="51">
        <f t="shared" si="54"/>
        <v>8.9085468799999994</v>
      </c>
      <c r="Q198" s="51">
        <f t="shared" si="55"/>
        <v>12</v>
      </c>
      <c r="R198" s="51">
        <f t="shared" si="56"/>
        <v>2.1318823999999998</v>
      </c>
      <c r="S198" s="51">
        <f t="shared" si="57"/>
        <v>1.1067644800000001</v>
      </c>
      <c r="T198" s="51">
        <f t="shared" si="58"/>
        <v>4.2184055999999998E-2</v>
      </c>
      <c r="U198" s="51">
        <f t="shared" si="59"/>
        <v>2.4040375999999999E-2</v>
      </c>
      <c r="V198" s="32">
        <v>31.1</v>
      </c>
      <c r="W198" s="51">
        <f t="shared" si="60"/>
        <v>14.106711200000001</v>
      </c>
      <c r="X198" s="44">
        <v>63.2</v>
      </c>
      <c r="Y198" s="54">
        <v>0.64</v>
      </c>
      <c r="Z198" s="47">
        <f t="shared" si="61"/>
        <v>0.29029887999999998</v>
      </c>
      <c r="AA198" s="1">
        <v>0.38</v>
      </c>
      <c r="AB198" s="47">
        <f t="shared" si="62"/>
        <v>0.17236496000000001</v>
      </c>
      <c r="AC198" s="1">
        <v>7.9</v>
      </c>
      <c r="AD198" s="1">
        <v>0.3</v>
      </c>
      <c r="AE198" s="6">
        <v>0.17</v>
      </c>
    </row>
    <row r="199" spans="1:31">
      <c r="A199" s="3"/>
      <c r="C199" s="47" t="str">
        <f t="shared" si="53"/>
        <v/>
      </c>
      <c r="D199" s="15">
        <v>1600</v>
      </c>
      <c r="E199" s="47">
        <f t="shared" si="63"/>
        <v>725.74720000000002</v>
      </c>
      <c r="F199" s="15"/>
      <c r="G199" s="15"/>
      <c r="H199" s="1">
        <v>2.5</v>
      </c>
      <c r="I199" s="47">
        <f t="shared" si="64"/>
        <v>1.13398</v>
      </c>
      <c r="J199" s="32">
        <v>20.63</v>
      </c>
      <c r="K199" s="25">
        <v>12.6</v>
      </c>
      <c r="L199" s="25">
        <v>4.9000000000000004</v>
      </c>
      <c r="M199" s="25">
        <v>2.4900000000000002</v>
      </c>
      <c r="N199" s="25">
        <v>9.2999999999999999E-2</v>
      </c>
      <c r="O199" s="33">
        <v>5.5E-2</v>
      </c>
      <c r="P199" s="51">
        <f t="shared" si="54"/>
        <v>9.3576029599999995</v>
      </c>
      <c r="Q199" s="51">
        <f t="shared" si="55"/>
        <v>12.6</v>
      </c>
      <c r="R199" s="51">
        <f t="shared" si="56"/>
        <v>2.2226007999999999</v>
      </c>
      <c r="S199" s="51">
        <f t="shared" si="57"/>
        <v>1.1294440800000001</v>
      </c>
      <c r="T199" s="51">
        <f t="shared" si="58"/>
        <v>4.2184055999999998E-2</v>
      </c>
      <c r="U199" s="51">
        <f t="shared" si="59"/>
        <v>2.4947560000000001E-2</v>
      </c>
      <c r="V199" s="32">
        <v>32.6</v>
      </c>
      <c r="W199" s="51">
        <f t="shared" si="60"/>
        <v>14.7870992</v>
      </c>
      <c r="X199" s="44">
        <v>63.2</v>
      </c>
      <c r="Y199" s="54">
        <v>0.64</v>
      </c>
      <c r="Z199" s="47">
        <f t="shared" si="61"/>
        <v>0.29029887999999998</v>
      </c>
      <c r="AA199" s="1">
        <v>0.38</v>
      </c>
      <c r="AB199" s="47">
        <f t="shared" si="62"/>
        <v>0.17236496000000001</v>
      </c>
      <c r="AC199" s="1">
        <v>7.6</v>
      </c>
      <c r="AD199" s="1">
        <v>0.28999999999999998</v>
      </c>
      <c r="AE199" s="6">
        <v>0.17</v>
      </c>
    </row>
    <row r="200" spans="1:31">
      <c r="A200" s="3"/>
      <c r="C200" s="47" t="str">
        <f t="shared" si="53"/>
        <v/>
      </c>
      <c r="D200" s="15">
        <v>1700</v>
      </c>
      <c r="E200" s="47">
        <f t="shared" si="63"/>
        <v>771.10640000000001</v>
      </c>
      <c r="F200" s="15"/>
      <c r="G200" s="15"/>
      <c r="H200" s="1">
        <v>2.5</v>
      </c>
      <c r="I200" s="47">
        <f t="shared" si="64"/>
        <v>1.13398</v>
      </c>
      <c r="J200" s="32">
        <v>21.59</v>
      </c>
      <c r="K200" s="25">
        <v>13.2</v>
      </c>
      <c r="L200" s="25">
        <v>5.0999999999999996</v>
      </c>
      <c r="M200" s="25">
        <v>2.5299999999999998</v>
      </c>
      <c r="N200" s="25">
        <v>9.4E-2</v>
      </c>
      <c r="O200" s="33">
        <v>5.6000000000000001E-2</v>
      </c>
      <c r="P200" s="51">
        <f t="shared" si="54"/>
        <v>9.7930512800000002</v>
      </c>
      <c r="Q200" s="51">
        <f t="shared" si="55"/>
        <v>13.2</v>
      </c>
      <c r="R200" s="51">
        <f t="shared" si="56"/>
        <v>2.3133192</v>
      </c>
      <c r="S200" s="51">
        <f t="shared" si="57"/>
        <v>1.14758776</v>
      </c>
      <c r="T200" s="51">
        <f t="shared" si="58"/>
        <v>4.2637648E-2</v>
      </c>
      <c r="U200" s="51">
        <f t="shared" si="59"/>
        <v>2.5401152E-2</v>
      </c>
      <c r="V200" s="32">
        <v>34.1</v>
      </c>
      <c r="W200" s="51">
        <f t="shared" si="60"/>
        <v>15.467487200000001</v>
      </c>
      <c r="X200" s="44">
        <v>63.2</v>
      </c>
      <c r="Y200" s="54">
        <v>0.64</v>
      </c>
      <c r="Z200" s="47">
        <f t="shared" si="61"/>
        <v>0.29029887999999998</v>
      </c>
      <c r="AA200" s="1">
        <v>0.38</v>
      </c>
      <c r="AB200" s="47">
        <f t="shared" si="62"/>
        <v>0.17236496000000001</v>
      </c>
      <c r="AC200" s="1">
        <v>7.4</v>
      </c>
      <c r="AD200" s="1">
        <v>0.28000000000000003</v>
      </c>
      <c r="AE200" s="6">
        <v>0.16</v>
      </c>
    </row>
    <row r="201" spans="1:31">
      <c r="A201" s="3"/>
      <c r="C201" s="47" t="str">
        <f t="shared" si="53"/>
        <v/>
      </c>
      <c r="D201" s="15">
        <v>1800</v>
      </c>
      <c r="E201" s="47">
        <f t="shared" si="63"/>
        <v>816.46559999999999</v>
      </c>
      <c r="F201" s="15"/>
      <c r="G201" s="15"/>
      <c r="H201" s="1">
        <v>2.5</v>
      </c>
      <c r="I201" s="47">
        <f t="shared" si="64"/>
        <v>1.13398</v>
      </c>
      <c r="J201" s="32">
        <v>22.55</v>
      </c>
      <c r="K201" s="25">
        <v>13.8</v>
      </c>
      <c r="L201" s="25">
        <v>5.3</v>
      </c>
      <c r="M201" s="25">
        <v>2.57</v>
      </c>
      <c r="N201" s="25">
        <v>9.5000000000000001E-2</v>
      </c>
      <c r="O201" s="33">
        <v>5.8000000000000003E-2</v>
      </c>
      <c r="P201" s="51">
        <f t="shared" si="54"/>
        <v>10.228499600000001</v>
      </c>
      <c r="Q201" s="51">
        <f t="shared" si="55"/>
        <v>13.8</v>
      </c>
      <c r="R201" s="51">
        <f t="shared" si="56"/>
        <v>2.4040376000000001</v>
      </c>
      <c r="S201" s="51">
        <f t="shared" si="57"/>
        <v>1.1657314399999998</v>
      </c>
      <c r="T201" s="51">
        <f t="shared" si="58"/>
        <v>4.3091240000000003E-2</v>
      </c>
      <c r="U201" s="51">
        <f t="shared" si="59"/>
        <v>2.6308336000000002E-2</v>
      </c>
      <c r="V201" s="32">
        <v>35.6</v>
      </c>
      <c r="W201" s="51">
        <f t="shared" si="60"/>
        <v>16.147875200000001</v>
      </c>
      <c r="X201" s="44">
        <v>63.3</v>
      </c>
      <c r="Y201" s="54">
        <v>0.64</v>
      </c>
      <c r="Z201" s="47">
        <f t="shared" si="61"/>
        <v>0.29029887999999998</v>
      </c>
      <c r="AA201" s="1">
        <v>0.38</v>
      </c>
      <c r="AB201" s="47">
        <f t="shared" si="62"/>
        <v>0.17236496000000001</v>
      </c>
      <c r="AC201" s="1">
        <v>7.2</v>
      </c>
      <c r="AD201" s="1">
        <v>0.27</v>
      </c>
      <c r="AE201" s="6">
        <v>0.16</v>
      </c>
    </row>
    <row r="202" spans="1:31">
      <c r="A202" s="3"/>
      <c r="C202" s="47" t="str">
        <f t="shared" si="53"/>
        <v/>
      </c>
      <c r="D202" s="1">
        <v>900</v>
      </c>
      <c r="E202" s="47">
        <f t="shared" si="63"/>
        <v>408.2328</v>
      </c>
      <c r="H202" s="1">
        <v>3</v>
      </c>
      <c r="I202" s="47">
        <f t="shared" si="64"/>
        <v>1.360776</v>
      </c>
      <c r="J202" s="32">
        <v>14.04</v>
      </c>
      <c r="K202" s="25">
        <v>8.1999999999999993</v>
      </c>
      <c r="L202" s="25">
        <v>3.9</v>
      </c>
      <c r="M202" s="25">
        <v>2.37</v>
      </c>
      <c r="N202" s="25">
        <v>0.1</v>
      </c>
      <c r="O202" s="33">
        <v>0.05</v>
      </c>
      <c r="P202" s="51">
        <f t="shared" si="54"/>
        <v>6.3684316799999996</v>
      </c>
      <c r="Q202" s="51">
        <f t="shared" si="55"/>
        <v>8.1999999999999993</v>
      </c>
      <c r="R202" s="51">
        <f t="shared" si="56"/>
        <v>1.7690087999999999</v>
      </c>
      <c r="S202" s="51">
        <f t="shared" si="57"/>
        <v>1.07501304</v>
      </c>
      <c r="T202" s="51">
        <f t="shared" si="58"/>
        <v>4.5359200000000002E-2</v>
      </c>
      <c r="U202" s="51">
        <f t="shared" si="59"/>
        <v>2.2679600000000001E-2</v>
      </c>
      <c r="V202" s="32">
        <v>21.1</v>
      </c>
      <c r="W202" s="51">
        <f t="shared" si="60"/>
        <v>9.5707912000000004</v>
      </c>
      <c r="X202" s="44">
        <v>66.599999999999994</v>
      </c>
      <c r="Y202" s="54">
        <v>0.69</v>
      </c>
      <c r="Z202" s="47">
        <f t="shared" si="61"/>
        <v>0.31297847999999995</v>
      </c>
      <c r="AA202" s="1">
        <v>0.42</v>
      </c>
      <c r="AB202" s="47">
        <f t="shared" si="62"/>
        <v>0.19050863999999998</v>
      </c>
      <c r="AC202" s="1">
        <v>11.2</v>
      </c>
      <c r="AD202" s="1">
        <v>0.48</v>
      </c>
      <c r="AE202" s="6">
        <v>0.24</v>
      </c>
    </row>
    <row r="203" spans="1:31">
      <c r="A203" s="3"/>
      <c r="C203" s="47" t="str">
        <f t="shared" si="53"/>
        <v/>
      </c>
      <c r="D203" s="15">
        <v>1000</v>
      </c>
      <c r="E203" s="47">
        <f t="shared" si="63"/>
        <v>453.59199999999998</v>
      </c>
      <c r="F203" s="15"/>
      <c r="G203" s="15"/>
      <c r="H203" s="1">
        <v>3</v>
      </c>
      <c r="I203" s="47">
        <f t="shared" si="64"/>
        <v>1.360776</v>
      </c>
      <c r="J203" s="32">
        <v>15.2</v>
      </c>
      <c r="K203" s="25">
        <v>8.9</v>
      </c>
      <c r="L203" s="25">
        <v>4.2</v>
      </c>
      <c r="M203" s="25">
        <v>2.41</v>
      </c>
      <c r="N203" s="25">
        <v>0.1</v>
      </c>
      <c r="O203" s="33">
        <v>5.0999999999999997E-2</v>
      </c>
      <c r="P203" s="51">
        <f t="shared" si="54"/>
        <v>6.8945983999999996</v>
      </c>
      <c r="Q203" s="51">
        <f t="shared" si="55"/>
        <v>8.9</v>
      </c>
      <c r="R203" s="51">
        <f t="shared" si="56"/>
        <v>1.9050864000000001</v>
      </c>
      <c r="S203" s="51">
        <f t="shared" si="57"/>
        <v>1.0931567200000001</v>
      </c>
      <c r="T203" s="51">
        <f t="shared" si="58"/>
        <v>4.5359200000000002E-2</v>
      </c>
      <c r="U203" s="51">
        <f t="shared" si="59"/>
        <v>2.3133191999999997E-2</v>
      </c>
      <c r="V203" s="32">
        <v>22.8</v>
      </c>
      <c r="W203" s="51">
        <f t="shared" si="60"/>
        <v>10.341897599999999</v>
      </c>
      <c r="X203" s="44">
        <v>66.7</v>
      </c>
      <c r="Y203" s="54">
        <v>0.69</v>
      </c>
      <c r="Z203" s="47">
        <f t="shared" si="61"/>
        <v>0.31297847999999995</v>
      </c>
      <c r="AA203" s="1">
        <v>0.42</v>
      </c>
      <c r="AB203" s="47">
        <f t="shared" si="62"/>
        <v>0.19050863999999998</v>
      </c>
      <c r="AC203" s="1">
        <v>10.6</v>
      </c>
      <c r="AD203" s="1">
        <v>0.44</v>
      </c>
      <c r="AE203" s="6">
        <v>0.22</v>
      </c>
    </row>
    <row r="204" spans="1:31">
      <c r="A204" s="3"/>
      <c r="C204" s="47" t="str">
        <f t="shared" si="53"/>
        <v/>
      </c>
      <c r="D204" s="15">
        <v>1100</v>
      </c>
      <c r="E204" s="47">
        <f t="shared" si="63"/>
        <v>498.95119999999997</v>
      </c>
      <c r="F204" s="15"/>
      <c r="G204" s="15"/>
      <c r="H204" s="1">
        <v>3</v>
      </c>
      <c r="I204" s="47">
        <f t="shared" si="64"/>
        <v>1.360776</v>
      </c>
      <c r="J204" s="32">
        <v>16.29</v>
      </c>
      <c r="K204" s="25">
        <v>9.5</v>
      </c>
      <c r="L204" s="25">
        <v>4.5</v>
      </c>
      <c r="M204" s="25">
        <v>2.4500000000000002</v>
      </c>
      <c r="N204" s="25">
        <v>0.1</v>
      </c>
      <c r="O204" s="33">
        <v>5.1999999999999998E-2</v>
      </c>
      <c r="P204" s="51">
        <f t="shared" si="54"/>
        <v>7.3890136799999997</v>
      </c>
      <c r="Q204" s="51">
        <f t="shared" si="55"/>
        <v>9.5</v>
      </c>
      <c r="R204" s="51">
        <f t="shared" si="56"/>
        <v>2.0411640000000002</v>
      </c>
      <c r="S204" s="51">
        <f t="shared" si="57"/>
        <v>1.1113004</v>
      </c>
      <c r="T204" s="51">
        <f t="shared" si="58"/>
        <v>4.5359200000000002E-2</v>
      </c>
      <c r="U204" s="51">
        <f t="shared" si="59"/>
        <v>2.3586784E-2</v>
      </c>
      <c r="V204" s="32">
        <v>24.5</v>
      </c>
      <c r="W204" s="51">
        <f t="shared" si="60"/>
        <v>11.113004</v>
      </c>
      <c r="X204" s="44">
        <v>66.5</v>
      </c>
      <c r="Y204" s="54">
        <v>0.69</v>
      </c>
      <c r="Z204" s="47">
        <f t="shared" si="61"/>
        <v>0.31297847999999995</v>
      </c>
      <c r="AA204" s="1">
        <v>0.42</v>
      </c>
      <c r="AB204" s="47">
        <f t="shared" si="62"/>
        <v>0.19050863999999998</v>
      </c>
      <c r="AC204" s="1">
        <v>10</v>
      </c>
      <c r="AD204" s="1">
        <v>0.41</v>
      </c>
      <c r="AE204" s="6">
        <v>0.21</v>
      </c>
    </row>
    <row r="205" spans="1:31">
      <c r="A205" s="3"/>
      <c r="C205" s="47" t="str">
        <f t="shared" ref="C205:C226" si="65">IF(B205&gt;0,(B205*$B$1),"")</f>
        <v/>
      </c>
      <c r="D205" s="15">
        <v>1200</v>
      </c>
      <c r="E205" s="47">
        <f t="shared" si="63"/>
        <v>544.31039999999996</v>
      </c>
      <c r="F205" s="15"/>
      <c r="G205" s="15"/>
      <c r="H205" s="1">
        <v>3</v>
      </c>
      <c r="I205" s="47">
        <f t="shared" si="64"/>
        <v>1.360776</v>
      </c>
      <c r="J205" s="32">
        <v>17.43</v>
      </c>
      <c r="K205" s="25">
        <v>10.199999999999999</v>
      </c>
      <c r="L205" s="25">
        <v>4.8</v>
      </c>
      <c r="M205" s="25">
        <v>2.48</v>
      </c>
      <c r="N205" s="25">
        <v>0.1</v>
      </c>
      <c r="O205" s="33">
        <v>5.2999999999999999E-2</v>
      </c>
      <c r="P205" s="51">
        <f t="shared" si="54"/>
        <v>7.9061085599999998</v>
      </c>
      <c r="Q205" s="51">
        <f t="shared" si="55"/>
        <v>10.199999999999999</v>
      </c>
      <c r="R205" s="51">
        <f t="shared" si="56"/>
        <v>2.1772415999999999</v>
      </c>
      <c r="S205" s="51">
        <f t="shared" si="57"/>
        <v>1.1249081599999999</v>
      </c>
      <c r="T205" s="51">
        <f t="shared" si="58"/>
        <v>4.5359200000000002E-2</v>
      </c>
      <c r="U205" s="51">
        <f t="shared" si="59"/>
        <v>2.4040375999999999E-2</v>
      </c>
      <c r="V205" s="32">
        <v>26.1</v>
      </c>
      <c r="W205" s="51">
        <f t="shared" si="60"/>
        <v>11.838751200000001</v>
      </c>
      <c r="X205" s="44">
        <v>66.7</v>
      </c>
      <c r="Y205" s="54">
        <v>0.69</v>
      </c>
      <c r="Z205" s="47">
        <f t="shared" si="61"/>
        <v>0.31297847999999995</v>
      </c>
      <c r="AA205" s="1">
        <v>0.42</v>
      </c>
      <c r="AB205" s="47">
        <f t="shared" si="62"/>
        <v>0.19050863999999998</v>
      </c>
      <c r="AC205" s="1">
        <v>9.5</v>
      </c>
      <c r="AD205" s="1">
        <v>0.38</v>
      </c>
      <c r="AE205" s="6">
        <v>0.2</v>
      </c>
    </row>
    <row r="206" spans="1:31">
      <c r="A206" s="3"/>
      <c r="C206" s="47" t="str">
        <f t="shared" si="65"/>
        <v/>
      </c>
      <c r="D206" s="15">
        <v>1300</v>
      </c>
      <c r="E206" s="47">
        <f t="shared" si="63"/>
        <v>589.66959999999995</v>
      </c>
      <c r="F206" s="15"/>
      <c r="G206" s="15"/>
      <c r="H206" s="1">
        <v>3</v>
      </c>
      <c r="I206" s="47">
        <f t="shared" si="64"/>
        <v>1.360776</v>
      </c>
      <c r="J206" s="32">
        <v>18.489999999999998</v>
      </c>
      <c r="K206" s="25">
        <v>10.8</v>
      </c>
      <c r="L206" s="25">
        <v>5.0999999999999996</v>
      </c>
      <c r="M206" s="25">
        <v>2.52</v>
      </c>
      <c r="N206" s="25">
        <v>0.10100000000000001</v>
      </c>
      <c r="O206" s="33">
        <v>5.5E-2</v>
      </c>
      <c r="P206" s="51">
        <f t="shared" si="54"/>
        <v>8.3869160799999989</v>
      </c>
      <c r="Q206" s="51">
        <f t="shared" si="55"/>
        <v>10.8</v>
      </c>
      <c r="R206" s="51">
        <f t="shared" si="56"/>
        <v>2.3133192</v>
      </c>
      <c r="S206" s="51">
        <f t="shared" si="57"/>
        <v>1.14305184</v>
      </c>
      <c r="T206" s="51">
        <f t="shared" si="58"/>
        <v>4.5812792000000005E-2</v>
      </c>
      <c r="U206" s="51">
        <f t="shared" si="59"/>
        <v>2.4947560000000001E-2</v>
      </c>
      <c r="V206" s="32">
        <v>27.7</v>
      </c>
      <c r="W206" s="51">
        <f t="shared" si="60"/>
        <v>12.5644984</v>
      </c>
      <c r="X206" s="44">
        <v>66.599999999999994</v>
      </c>
      <c r="Y206" s="54">
        <v>0.69</v>
      </c>
      <c r="Z206" s="47">
        <f t="shared" si="61"/>
        <v>0.31297847999999995</v>
      </c>
      <c r="AA206" s="1">
        <v>0.42</v>
      </c>
      <c r="AB206" s="47">
        <f t="shared" si="62"/>
        <v>0.19050863999999998</v>
      </c>
      <c r="AC206" s="1">
        <v>9.1</v>
      </c>
      <c r="AD206" s="1">
        <v>0.36</v>
      </c>
      <c r="AE206" s="6">
        <v>0.2</v>
      </c>
    </row>
    <row r="207" spans="1:31">
      <c r="A207" s="3"/>
      <c r="C207" s="47" t="str">
        <f t="shared" si="65"/>
        <v/>
      </c>
      <c r="D207" s="15">
        <v>1400</v>
      </c>
      <c r="E207" s="47">
        <f t="shared" si="63"/>
        <v>635.02880000000005</v>
      </c>
      <c r="F207" s="15"/>
      <c r="G207" s="15"/>
      <c r="H207" s="1">
        <v>3</v>
      </c>
      <c r="I207" s="47">
        <f t="shared" si="64"/>
        <v>1.360776</v>
      </c>
      <c r="J207" s="32">
        <v>19.54</v>
      </c>
      <c r="K207" s="25">
        <v>11.4</v>
      </c>
      <c r="L207" s="25">
        <v>5.4</v>
      </c>
      <c r="M207" s="25">
        <v>2.56</v>
      </c>
      <c r="N207" s="25">
        <v>0.10100000000000001</v>
      </c>
      <c r="O207" s="33">
        <v>5.6000000000000001E-2</v>
      </c>
      <c r="P207" s="51">
        <f t="shared" si="54"/>
        <v>8.8631876799999993</v>
      </c>
      <c r="Q207" s="51">
        <f t="shared" si="55"/>
        <v>11.4</v>
      </c>
      <c r="R207" s="51">
        <f t="shared" si="56"/>
        <v>2.4493968000000002</v>
      </c>
      <c r="S207" s="51">
        <f t="shared" si="57"/>
        <v>1.1611955199999999</v>
      </c>
      <c r="T207" s="51">
        <f t="shared" si="58"/>
        <v>4.5812792000000005E-2</v>
      </c>
      <c r="U207" s="51">
        <f t="shared" si="59"/>
        <v>2.5401152E-2</v>
      </c>
      <c r="V207" s="32">
        <v>29.3</v>
      </c>
      <c r="W207" s="51">
        <f t="shared" si="60"/>
        <v>13.2902456</v>
      </c>
      <c r="X207" s="44">
        <v>66.599999999999994</v>
      </c>
      <c r="Y207" s="54">
        <v>0.69</v>
      </c>
      <c r="Z207" s="47">
        <f t="shared" si="61"/>
        <v>0.31297847999999995</v>
      </c>
      <c r="AA207" s="1">
        <v>0.42</v>
      </c>
      <c r="AB207" s="47">
        <f t="shared" si="62"/>
        <v>0.19050863999999998</v>
      </c>
      <c r="AC207" s="1">
        <v>8.6999999999999993</v>
      </c>
      <c r="AD207" s="1">
        <v>0.34</v>
      </c>
      <c r="AE207" s="6">
        <v>0.19</v>
      </c>
    </row>
    <row r="208" spans="1:31">
      <c r="A208" s="3"/>
      <c r="C208" s="47" t="str">
        <f t="shared" si="65"/>
        <v/>
      </c>
      <c r="D208" s="15">
        <v>1500</v>
      </c>
      <c r="E208" s="47">
        <f t="shared" si="63"/>
        <v>680.38800000000003</v>
      </c>
      <c r="F208" s="15"/>
      <c r="G208" s="15"/>
      <c r="H208" s="1">
        <v>3</v>
      </c>
      <c r="I208" s="47">
        <f t="shared" si="64"/>
        <v>1.360776</v>
      </c>
      <c r="J208" s="32">
        <v>20.58</v>
      </c>
      <c r="K208" s="25">
        <v>12</v>
      </c>
      <c r="L208" s="25">
        <v>5.7</v>
      </c>
      <c r="M208" s="25">
        <v>2.59</v>
      </c>
      <c r="N208" s="25">
        <v>0.10100000000000001</v>
      </c>
      <c r="O208" s="33">
        <v>5.7000000000000002E-2</v>
      </c>
      <c r="P208" s="51">
        <f t="shared" si="54"/>
        <v>9.3349233599999994</v>
      </c>
      <c r="Q208" s="51">
        <f t="shared" si="55"/>
        <v>12</v>
      </c>
      <c r="R208" s="51">
        <f t="shared" si="56"/>
        <v>2.5854743999999998</v>
      </c>
      <c r="S208" s="51">
        <f t="shared" si="57"/>
        <v>1.1748032799999999</v>
      </c>
      <c r="T208" s="51">
        <f t="shared" si="58"/>
        <v>4.5812792000000005E-2</v>
      </c>
      <c r="U208" s="51">
        <f t="shared" si="59"/>
        <v>2.5854743999999999E-2</v>
      </c>
      <c r="V208" s="32">
        <v>30.9</v>
      </c>
      <c r="W208" s="51">
        <f t="shared" si="60"/>
        <v>14.015992799999999</v>
      </c>
      <c r="X208" s="44">
        <v>66.599999999999994</v>
      </c>
      <c r="Y208" s="54">
        <v>0.69</v>
      </c>
      <c r="Z208" s="47">
        <f t="shared" si="61"/>
        <v>0.31297847999999995</v>
      </c>
      <c r="AA208" s="1">
        <v>0.42</v>
      </c>
      <c r="AB208" s="47">
        <f t="shared" si="62"/>
        <v>0.19050863999999998</v>
      </c>
      <c r="AC208" s="1">
        <v>8.4</v>
      </c>
      <c r="AD208" s="1">
        <v>0.33</v>
      </c>
      <c r="AE208" s="6">
        <v>0.18</v>
      </c>
    </row>
    <row r="209" spans="1:31">
      <c r="A209" s="3"/>
      <c r="C209" s="47" t="str">
        <f t="shared" si="65"/>
        <v/>
      </c>
      <c r="D209" s="15">
        <v>1600</v>
      </c>
      <c r="E209" s="47">
        <f t="shared" si="63"/>
        <v>725.74720000000002</v>
      </c>
      <c r="F209" s="15"/>
      <c r="G209" s="15"/>
      <c r="H209" s="1">
        <v>3</v>
      </c>
      <c r="I209" s="47">
        <f t="shared" si="64"/>
        <v>1.360776</v>
      </c>
      <c r="J209" s="32">
        <v>21.59</v>
      </c>
      <c r="K209" s="25">
        <v>12.6</v>
      </c>
      <c r="L209" s="25">
        <v>5.9</v>
      </c>
      <c r="M209" s="25">
        <v>2.63</v>
      </c>
      <c r="N209" s="25">
        <v>0.10199999999999999</v>
      </c>
      <c r="O209" s="33">
        <v>5.8000000000000003E-2</v>
      </c>
      <c r="P209" s="51">
        <f t="shared" si="54"/>
        <v>9.7930512800000002</v>
      </c>
      <c r="Q209" s="51">
        <f t="shared" si="55"/>
        <v>12.6</v>
      </c>
      <c r="R209" s="51">
        <f t="shared" si="56"/>
        <v>2.6761927999999999</v>
      </c>
      <c r="S209" s="51">
        <f t="shared" si="57"/>
        <v>1.19294696</v>
      </c>
      <c r="T209" s="51">
        <f t="shared" si="58"/>
        <v>4.6266383999999994E-2</v>
      </c>
      <c r="U209" s="51">
        <f t="shared" si="59"/>
        <v>2.6308336000000002E-2</v>
      </c>
      <c r="V209" s="32">
        <v>32.4</v>
      </c>
      <c r="W209" s="51">
        <f t="shared" si="60"/>
        <v>14.6963808</v>
      </c>
      <c r="X209" s="44">
        <v>66.599999999999994</v>
      </c>
      <c r="Y209" s="54">
        <v>0.69</v>
      </c>
      <c r="Z209" s="47">
        <f t="shared" si="61"/>
        <v>0.31297847999999995</v>
      </c>
      <c r="AA209" s="1">
        <v>0.42</v>
      </c>
      <c r="AB209" s="47">
        <f t="shared" si="62"/>
        <v>0.19050863999999998</v>
      </c>
      <c r="AC209" s="1">
        <v>8.1</v>
      </c>
      <c r="AD209" s="1">
        <v>0.31</v>
      </c>
      <c r="AE209" s="6">
        <v>0.18</v>
      </c>
    </row>
    <row r="210" spans="1:31">
      <c r="A210" s="3"/>
      <c r="C210" s="47" t="str">
        <f t="shared" si="65"/>
        <v/>
      </c>
      <c r="D210" s="15">
        <v>1700</v>
      </c>
      <c r="E210" s="47">
        <f t="shared" si="63"/>
        <v>771.10640000000001</v>
      </c>
      <c r="F210" s="15"/>
      <c r="G210" s="15"/>
      <c r="H210" s="1">
        <v>3</v>
      </c>
      <c r="I210" s="47">
        <f t="shared" si="64"/>
        <v>1.360776</v>
      </c>
      <c r="J210" s="32">
        <v>22.61</v>
      </c>
      <c r="K210" s="25">
        <v>13.2</v>
      </c>
      <c r="L210" s="25">
        <v>6.2</v>
      </c>
      <c r="M210" s="25">
        <v>2.66</v>
      </c>
      <c r="N210" s="25">
        <v>0.10199999999999999</v>
      </c>
      <c r="O210" s="33">
        <v>5.8999999999999997E-2</v>
      </c>
      <c r="P210" s="51">
        <f t="shared" si="54"/>
        <v>10.25571512</v>
      </c>
      <c r="Q210" s="51">
        <f t="shared" si="55"/>
        <v>13.2</v>
      </c>
      <c r="R210" s="51">
        <f t="shared" si="56"/>
        <v>2.8122704000000001</v>
      </c>
      <c r="S210" s="51">
        <f t="shared" si="57"/>
        <v>1.20655472</v>
      </c>
      <c r="T210" s="51">
        <f t="shared" si="58"/>
        <v>4.6266383999999994E-2</v>
      </c>
      <c r="U210" s="51">
        <f t="shared" si="59"/>
        <v>2.6761927999999997E-2</v>
      </c>
      <c r="V210" s="32">
        <v>33.9</v>
      </c>
      <c r="W210" s="51">
        <f t="shared" si="60"/>
        <v>15.376768799999999</v>
      </c>
      <c r="X210" s="44">
        <v>66.599999999999994</v>
      </c>
      <c r="Y210" s="54">
        <v>0.69</v>
      </c>
      <c r="Z210" s="47">
        <f t="shared" si="61"/>
        <v>0.31297847999999995</v>
      </c>
      <c r="AA210" s="1">
        <v>0.42</v>
      </c>
      <c r="AB210" s="47">
        <f t="shared" si="62"/>
        <v>0.19050863999999998</v>
      </c>
      <c r="AC210" s="1">
        <v>7.8</v>
      </c>
      <c r="AD210" s="1">
        <v>0.3</v>
      </c>
      <c r="AE210" s="6">
        <v>0.17</v>
      </c>
    </row>
    <row r="211" spans="1:31">
      <c r="A211" s="3"/>
      <c r="C211" s="47" t="str">
        <f t="shared" si="65"/>
        <v/>
      </c>
      <c r="D211" s="15">
        <v>1800</v>
      </c>
      <c r="E211" s="47">
        <f t="shared" si="63"/>
        <v>816.46559999999999</v>
      </c>
      <c r="F211" s="15"/>
      <c r="G211" s="15"/>
      <c r="H211" s="1">
        <v>3</v>
      </c>
      <c r="I211" s="47">
        <f t="shared" si="64"/>
        <v>1.360776</v>
      </c>
      <c r="J211" s="32">
        <v>23.61</v>
      </c>
      <c r="K211" s="25">
        <v>13.8</v>
      </c>
      <c r="L211" s="25">
        <v>6.5</v>
      </c>
      <c r="M211" s="25">
        <v>2.7</v>
      </c>
      <c r="N211" s="25">
        <v>0.10199999999999999</v>
      </c>
      <c r="O211" s="33">
        <v>6.0999999999999999E-2</v>
      </c>
      <c r="P211" s="51">
        <f t="shared" si="54"/>
        <v>10.70930712</v>
      </c>
      <c r="Q211" s="51">
        <f t="shared" si="55"/>
        <v>13.8</v>
      </c>
      <c r="R211" s="51">
        <f t="shared" si="56"/>
        <v>2.9483480000000002</v>
      </c>
      <c r="S211" s="51">
        <f t="shared" si="57"/>
        <v>1.2246984000000001</v>
      </c>
      <c r="T211" s="51">
        <f t="shared" si="58"/>
        <v>4.6266383999999994E-2</v>
      </c>
      <c r="U211" s="51">
        <f t="shared" si="59"/>
        <v>2.7669111999999999E-2</v>
      </c>
      <c r="V211" s="32">
        <v>35.4</v>
      </c>
      <c r="W211" s="51">
        <f t="shared" si="60"/>
        <v>16.057156799999998</v>
      </c>
      <c r="X211" s="44">
        <v>66.7</v>
      </c>
      <c r="Y211" s="54">
        <v>0.69</v>
      </c>
      <c r="Z211" s="47">
        <f t="shared" si="61"/>
        <v>0.31297847999999995</v>
      </c>
      <c r="AA211" s="1">
        <v>0.42</v>
      </c>
      <c r="AB211" s="47">
        <f t="shared" si="62"/>
        <v>0.19050863999999998</v>
      </c>
      <c r="AC211" s="1">
        <v>7.6</v>
      </c>
      <c r="AD211" s="1">
        <v>0.28999999999999998</v>
      </c>
      <c r="AE211" s="6">
        <v>0.17</v>
      </c>
    </row>
    <row r="212" spans="1:31">
      <c r="A212" s="3"/>
      <c r="C212" s="47" t="str">
        <f t="shared" si="65"/>
        <v/>
      </c>
      <c r="D212" s="1">
        <v>900</v>
      </c>
      <c r="E212" s="47">
        <f t="shared" si="63"/>
        <v>408.2328</v>
      </c>
      <c r="H212" s="1">
        <v>3.5</v>
      </c>
      <c r="I212" s="47">
        <f t="shared" si="64"/>
        <v>1.587572</v>
      </c>
      <c r="J212" s="32">
        <v>14.64</v>
      </c>
      <c r="K212" s="25">
        <v>8.1999999999999993</v>
      </c>
      <c r="L212" s="25">
        <v>4.5999999999999996</v>
      </c>
      <c r="M212" s="25">
        <v>2.57</v>
      </c>
      <c r="N212" s="25">
        <v>0.112</v>
      </c>
      <c r="O212" s="33">
        <v>5.5E-2</v>
      </c>
      <c r="P212" s="51">
        <f t="shared" si="54"/>
        <v>6.6405868799999999</v>
      </c>
      <c r="Q212" s="51">
        <f t="shared" si="55"/>
        <v>8.1999999999999993</v>
      </c>
      <c r="R212" s="51">
        <f t="shared" si="56"/>
        <v>2.0865231999999998</v>
      </c>
      <c r="S212" s="51">
        <f t="shared" si="57"/>
        <v>1.1657314399999998</v>
      </c>
      <c r="T212" s="51">
        <f t="shared" si="58"/>
        <v>5.0802304E-2</v>
      </c>
      <c r="U212" s="51">
        <f t="shared" si="59"/>
        <v>2.4947560000000001E-2</v>
      </c>
      <c r="V212" s="32">
        <v>20.8</v>
      </c>
      <c r="W212" s="51">
        <f t="shared" si="60"/>
        <v>9.4347136000000003</v>
      </c>
      <c r="X212" s="44">
        <v>70.400000000000006</v>
      </c>
      <c r="Y212" s="54">
        <v>0.75</v>
      </c>
      <c r="Z212" s="47">
        <f t="shared" si="61"/>
        <v>0.340194</v>
      </c>
      <c r="AA212" s="1">
        <v>0.47</v>
      </c>
      <c r="AB212" s="47">
        <f t="shared" si="62"/>
        <v>0.21318823999999997</v>
      </c>
      <c r="AC212" s="1">
        <v>12.3</v>
      </c>
      <c r="AD212" s="1">
        <v>0.54</v>
      </c>
      <c r="AE212" s="6">
        <v>0.26</v>
      </c>
    </row>
    <row r="213" spans="1:31">
      <c r="A213" s="3"/>
      <c r="C213" s="47" t="str">
        <f t="shared" si="65"/>
        <v/>
      </c>
      <c r="D213" s="15">
        <v>1000</v>
      </c>
      <c r="E213" s="47">
        <f t="shared" si="63"/>
        <v>453.59199999999998</v>
      </c>
      <c r="F213" s="15"/>
      <c r="G213" s="15"/>
      <c r="H213" s="1">
        <v>3.5</v>
      </c>
      <c r="I213" s="47">
        <f t="shared" si="64"/>
        <v>1.587572</v>
      </c>
      <c r="J213" s="32">
        <v>15.85</v>
      </c>
      <c r="K213" s="25">
        <v>8.9</v>
      </c>
      <c r="L213" s="25">
        <v>5</v>
      </c>
      <c r="M213" s="25">
        <v>2.6</v>
      </c>
      <c r="N213" s="25">
        <v>0.111</v>
      </c>
      <c r="O213" s="33">
        <v>5.6000000000000001E-2</v>
      </c>
      <c r="P213" s="51">
        <f t="shared" si="54"/>
        <v>7.1894331999999999</v>
      </c>
      <c r="Q213" s="51">
        <f t="shared" si="55"/>
        <v>8.9</v>
      </c>
      <c r="R213" s="51">
        <f t="shared" si="56"/>
        <v>2.26796</v>
      </c>
      <c r="S213" s="51">
        <f t="shared" si="57"/>
        <v>1.1793392</v>
      </c>
      <c r="T213" s="51">
        <f t="shared" si="58"/>
        <v>5.0348711999999997E-2</v>
      </c>
      <c r="U213" s="51">
        <f t="shared" si="59"/>
        <v>2.5401152E-2</v>
      </c>
      <c r="V213" s="32">
        <v>22.5</v>
      </c>
      <c r="W213" s="51">
        <f t="shared" si="60"/>
        <v>10.205819999999999</v>
      </c>
      <c r="X213" s="44">
        <v>70.400000000000006</v>
      </c>
      <c r="Y213" s="54">
        <v>0.75</v>
      </c>
      <c r="Z213" s="47">
        <f t="shared" si="61"/>
        <v>0.340194</v>
      </c>
      <c r="AA213" s="1">
        <v>0.47</v>
      </c>
      <c r="AB213" s="47">
        <f t="shared" si="62"/>
        <v>0.21318823999999997</v>
      </c>
      <c r="AC213" s="1">
        <v>11.5</v>
      </c>
      <c r="AD213" s="1">
        <v>0.49</v>
      </c>
      <c r="AE213" s="6">
        <v>0.25</v>
      </c>
    </row>
    <row r="214" spans="1:31">
      <c r="A214" s="3"/>
      <c r="C214" s="47" t="str">
        <f t="shared" si="65"/>
        <v/>
      </c>
      <c r="D214" s="15">
        <v>1100</v>
      </c>
      <c r="E214" s="47">
        <f t="shared" si="63"/>
        <v>498.95119999999997</v>
      </c>
      <c r="F214" s="15"/>
      <c r="G214" s="15"/>
      <c r="H214" s="1">
        <v>3.5</v>
      </c>
      <c r="I214" s="47">
        <f t="shared" si="64"/>
        <v>1.587572</v>
      </c>
      <c r="J214" s="32">
        <v>17</v>
      </c>
      <c r="K214" s="25">
        <v>9.5</v>
      </c>
      <c r="L214" s="25">
        <v>5.4</v>
      </c>
      <c r="M214" s="25">
        <v>2.63</v>
      </c>
      <c r="N214" s="25">
        <v>0.111</v>
      </c>
      <c r="O214" s="33">
        <v>5.7000000000000002E-2</v>
      </c>
      <c r="P214" s="51">
        <f t="shared" si="54"/>
        <v>7.7110640000000004</v>
      </c>
      <c r="Q214" s="51">
        <f t="shared" si="55"/>
        <v>9.5</v>
      </c>
      <c r="R214" s="51">
        <f t="shared" si="56"/>
        <v>2.4493968000000002</v>
      </c>
      <c r="S214" s="51">
        <f t="shared" si="57"/>
        <v>1.19294696</v>
      </c>
      <c r="T214" s="51">
        <f t="shared" si="58"/>
        <v>5.0348711999999997E-2</v>
      </c>
      <c r="U214" s="51">
        <f t="shared" si="59"/>
        <v>2.5854743999999999E-2</v>
      </c>
      <c r="V214" s="32">
        <v>24.2</v>
      </c>
      <c r="W214" s="51">
        <f t="shared" si="60"/>
        <v>10.9769264</v>
      </c>
      <c r="X214" s="44">
        <v>70.3</v>
      </c>
      <c r="Y214" s="54">
        <v>0.75</v>
      </c>
      <c r="Z214" s="47">
        <f t="shared" si="61"/>
        <v>0.340194</v>
      </c>
      <c r="AA214" s="1">
        <v>0.47</v>
      </c>
      <c r="AB214" s="47">
        <f t="shared" si="62"/>
        <v>0.21318823999999997</v>
      </c>
      <c r="AC214" s="1">
        <v>10.9</v>
      </c>
      <c r="AD214" s="1">
        <v>0.46</v>
      </c>
      <c r="AE214" s="6">
        <v>0.23</v>
      </c>
    </row>
    <row r="215" spans="1:31">
      <c r="A215" s="3"/>
      <c r="C215" s="47" t="str">
        <f t="shared" si="65"/>
        <v/>
      </c>
      <c r="D215" s="15">
        <v>1200</v>
      </c>
      <c r="E215" s="47">
        <f t="shared" si="63"/>
        <v>544.31039999999996</v>
      </c>
      <c r="F215" s="15"/>
      <c r="G215" s="15"/>
      <c r="H215" s="1">
        <v>3.5</v>
      </c>
      <c r="I215" s="47">
        <f t="shared" si="64"/>
        <v>1.587572</v>
      </c>
      <c r="J215" s="32">
        <v>18.18</v>
      </c>
      <c r="K215" s="25">
        <v>10.199999999999999</v>
      </c>
      <c r="L215" s="25">
        <v>5.7</v>
      </c>
      <c r="M215" s="25">
        <v>2.66</v>
      </c>
      <c r="N215" s="25">
        <v>0.111</v>
      </c>
      <c r="O215" s="33">
        <v>5.7000000000000002E-2</v>
      </c>
      <c r="P215" s="51">
        <f t="shared" si="54"/>
        <v>8.2463025600000002</v>
      </c>
      <c r="Q215" s="51">
        <f t="shared" si="55"/>
        <v>10.199999999999999</v>
      </c>
      <c r="R215" s="51">
        <f t="shared" si="56"/>
        <v>2.5854743999999998</v>
      </c>
      <c r="S215" s="51">
        <f t="shared" si="57"/>
        <v>1.20655472</v>
      </c>
      <c r="T215" s="51">
        <f t="shared" si="58"/>
        <v>5.0348711999999997E-2</v>
      </c>
      <c r="U215" s="51">
        <f t="shared" si="59"/>
        <v>2.5854743999999999E-2</v>
      </c>
      <c r="V215" s="32">
        <v>25.8</v>
      </c>
      <c r="W215" s="51">
        <f t="shared" si="60"/>
        <v>11.702673600000001</v>
      </c>
      <c r="X215" s="44">
        <v>70.400000000000006</v>
      </c>
      <c r="Y215" s="54">
        <v>0.75</v>
      </c>
      <c r="Z215" s="47">
        <f t="shared" si="61"/>
        <v>0.340194</v>
      </c>
      <c r="AA215" s="1">
        <v>0.47</v>
      </c>
      <c r="AB215" s="47">
        <f t="shared" si="62"/>
        <v>0.21318823999999997</v>
      </c>
      <c r="AC215" s="1">
        <v>10.3</v>
      </c>
      <c r="AD215" s="1">
        <v>0.43</v>
      </c>
      <c r="AE215" s="6">
        <v>0.22</v>
      </c>
    </row>
    <row r="216" spans="1:31">
      <c r="A216" s="3"/>
      <c r="C216" s="47" t="str">
        <f t="shared" si="65"/>
        <v/>
      </c>
      <c r="D216" s="15">
        <v>1300</v>
      </c>
      <c r="E216" s="47">
        <f t="shared" si="63"/>
        <v>589.66959999999995</v>
      </c>
      <c r="F216" s="15"/>
      <c r="G216" s="15"/>
      <c r="H216" s="1">
        <v>3.5</v>
      </c>
      <c r="I216" s="47">
        <f t="shared" si="64"/>
        <v>1.587572</v>
      </c>
      <c r="J216" s="32">
        <v>19.28</v>
      </c>
      <c r="K216" s="25">
        <v>10.8</v>
      </c>
      <c r="L216" s="25">
        <v>6.1</v>
      </c>
      <c r="M216" s="25">
        <v>2.69</v>
      </c>
      <c r="N216" s="25">
        <v>0.11</v>
      </c>
      <c r="O216" s="33">
        <v>5.8000000000000003E-2</v>
      </c>
      <c r="P216" s="51">
        <f t="shared" si="54"/>
        <v>8.7452537600000007</v>
      </c>
      <c r="Q216" s="51">
        <f t="shared" si="55"/>
        <v>10.8</v>
      </c>
      <c r="R216" s="51">
        <f t="shared" si="56"/>
        <v>2.7669112</v>
      </c>
      <c r="S216" s="51">
        <f t="shared" si="57"/>
        <v>1.2201624799999999</v>
      </c>
      <c r="T216" s="51">
        <f t="shared" si="58"/>
        <v>4.9895120000000001E-2</v>
      </c>
      <c r="U216" s="51">
        <f t="shared" si="59"/>
        <v>2.6308336000000002E-2</v>
      </c>
      <c r="V216" s="32">
        <v>27.4</v>
      </c>
      <c r="W216" s="51">
        <f t="shared" si="60"/>
        <v>12.4284208</v>
      </c>
      <c r="X216" s="44">
        <v>70.3</v>
      </c>
      <c r="Y216" s="54">
        <v>0.75</v>
      </c>
      <c r="Z216" s="47">
        <f t="shared" si="61"/>
        <v>0.340194</v>
      </c>
      <c r="AA216" s="1">
        <v>0.47</v>
      </c>
      <c r="AB216" s="47">
        <f t="shared" si="62"/>
        <v>0.21318823999999997</v>
      </c>
      <c r="AC216" s="1">
        <v>9.8000000000000007</v>
      </c>
      <c r="AD216" s="1">
        <v>0.4</v>
      </c>
      <c r="AE216" s="6">
        <v>0.21</v>
      </c>
    </row>
    <row r="217" spans="1:31">
      <c r="A217" s="3"/>
      <c r="C217" s="47" t="str">
        <f t="shared" si="65"/>
        <v/>
      </c>
      <c r="D217" s="15">
        <v>1400</v>
      </c>
      <c r="E217" s="47">
        <f t="shared" si="63"/>
        <v>635.02880000000005</v>
      </c>
      <c r="F217" s="15"/>
      <c r="G217" s="15"/>
      <c r="H217" s="1">
        <v>3.5</v>
      </c>
      <c r="I217" s="47">
        <f t="shared" si="64"/>
        <v>1.587572</v>
      </c>
      <c r="J217" s="32">
        <v>20.37</v>
      </c>
      <c r="K217" s="25">
        <v>11.4</v>
      </c>
      <c r="L217" s="25">
        <v>6.5</v>
      </c>
      <c r="M217" s="25">
        <v>2.71</v>
      </c>
      <c r="N217" s="25">
        <v>0.11</v>
      </c>
      <c r="O217" s="33">
        <v>5.8999999999999997E-2</v>
      </c>
      <c r="P217" s="51">
        <f t="shared" si="54"/>
        <v>9.2396690400000008</v>
      </c>
      <c r="Q217" s="51">
        <f t="shared" si="55"/>
        <v>11.4</v>
      </c>
      <c r="R217" s="51">
        <f t="shared" si="56"/>
        <v>2.9483480000000002</v>
      </c>
      <c r="S217" s="51">
        <f t="shared" si="57"/>
        <v>1.22923432</v>
      </c>
      <c r="T217" s="51">
        <f t="shared" si="58"/>
        <v>4.9895120000000001E-2</v>
      </c>
      <c r="U217" s="51">
        <f t="shared" si="59"/>
        <v>2.6761927999999997E-2</v>
      </c>
      <c r="V217" s="32">
        <v>29</v>
      </c>
      <c r="W217" s="51">
        <f t="shared" si="60"/>
        <v>13.154168</v>
      </c>
      <c r="X217" s="44">
        <v>70.3</v>
      </c>
      <c r="Y217" s="54">
        <v>0.75</v>
      </c>
      <c r="Z217" s="47">
        <f t="shared" si="61"/>
        <v>0.340194</v>
      </c>
      <c r="AA217" s="1">
        <v>0.47</v>
      </c>
      <c r="AB217" s="47">
        <f t="shared" si="62"/>
        <v>0.21318823999999997</v>
      </c>
      <c r="AC217" s="1">
        <v>9.4</v>
      </c>
      <c r="AD217" s="1">
        <v>0.38</v>
      </c>
      <c r="AE217" s="6">
        <v>0.2</v>
      </c>
    </row>
    <row r="218" spans="1:31">
      <c r="A218" s="3"/>
      <c r="C218" s="47" t="str">
        <f t="shared" si="65"/>
        <v/>
      </c>
      <c r="D218" s="15">
        <v>1500</v>
      </c>
      <c r="E218" s="47">
        <f t="shared" si="63"/>
        <v>680.38800000000003</v>
      </c>
      <c r="F218" s="15"/>
      <c r="G218" s="15"/>
      <c r="H218" s="1">
        <v>3.5</v>
      </c>
      <c r="I218" s="47">
        <f t="shared" si="64"/>
        <v>1.587572</v>
      </c>
      <c r="J218" s="32">
        <v>21.45</v>
      </c>
      <c r="K218" s="25">
        <v>12</v>
      </c>
      <c r="L218" s="25">
        <v>6.8</v>
      </c>
      <c r="M218" s="25">
        <v>2.74</v>
      </c>
      <c r="N218" s="25">
        <v>0.11</v>
      </c>
      <c r="O218" s="33">
        <v>0.06</v>
      </c>
      <c r="P218" s="51">
        <f t="shared" si="54"/>
        <v>9.7295483999999988</v>
      </c>
      <c r="Q218" s="51">
        <f t="shared" si="55"/>
        <v>12</v>
      </c>
      <c r="R218" s="51">
        <f t="shared" si="56"/>
        <v>3.0844255999999999</v>
      </c>
      <c r="S218" s="51">
        <f t="shared" si="57"/>
        <v>1.2428420800000002</v>
      </c>
      <c r="T218" s="51">
        <f t="shared" si="58"/>
        <v>4.9895120000000001E-2</v>
      </c>
      <c r="U218" s="51">
        <f t="shared" si="59"/>
        <v>2.721552E-2</v>
      </c>
      <c r="V218" s="32">
        <v>30.5</v>
      </c>
      <c r="W218" s="51">
        <f t="shared" si="60"/>
        <v>13.834555999999999</v>
      </c>
      <c r="X218" s="44">
        <v>70.3</v>
      </c>
      <c r="Y218" s="54">
        <v>0.75</v>
      </c>
      <c r="Z218" s="47">
        <f t="shared" si="61"/>
        <v>0.340194</v>
      </c>
      <c r="AA218" s="1">
        <v>0.47</v>
      </c>
      <c r="AB218" s="47">
        <f t="shared" si="62"/>
        <v>0.21318823999999997</v>
      </c>
      <c r="AC218" s="1">
        <v>9</v>
      </c>
      <c r="AD218" s="1">
        <v>0.36</v>
      </c>
      <c r="AE218" s="6">
        <v>0.2</v>
      </c>
    </row>
    <row r="219" spans="1:31">
      <c r="A219" s="3"/>
      <c r="C219" s="47" t="str">
        <f t="shared" si="65"/>
        <v/>
      </c>
      <c r="D219" s="15">
        <v>1600</v>
      </c>
      <c r="E219" s="47">
        <f t="shared" si="63"/>
        <v>725.74720000000002</v>
      </c>
      <c r="F219" s="15"/>
      <c r="G219" s="15"/>
      <c r="H219" s="1">
        <v>3.5</v>
      </c>
      <c r="I219" s="47">
        <f t="shared" si="64"/>
        <v>1.587572</v>
      </c>
      <c r="J219" s="32">
        <v>22.52</v>
      </c>
      <c r="K219" s="25">
        <v>12.6</v>
      </c>
      <c r="L219" s="25">
        <v>7.1</v>
      </c>
      <c r="M219" s="25">
        <v>2.77</v>
      </c>
      <c r="N219" s="25">
        <v>0.11</v>
      </c>
      <c r="O219" s="33">
        <v>6.0999999999999999E-2</v>
      </c>
      <c r="P219" s="51">
        <f t="shared" si="54"/>
        <v>10.21489184</v>
      </c>
      <c r="Q219" s="51">
        <f t="shared" si="55"/>
        <v>12.6</v>
      </c>
      <c r="R219" s="51">
        <f t="shared" si="56"/>
        <v>3.2205032</v>
      </c>
      <c r="S219" s="51">
        <f t="shared" si="57"/>
        <v>1.2564498399999999</v>
      </c>
      <c r="T219" s="51">
        <f t="shared" si="58"/>
        <v>4.9895120000000001E-2</v>
      </c>
      <c r="U219" s="51">
        <f t="shared" si="59"/>
        <v>2.7669111999999999E-2</v>
      </c>
      <c r="V219" s="32">
        <v>32</v>
      </c>
      <c r="W219" s="51">
        <f t="shared" si="60"/>
        <v>14.514944</v>
      </c>
      <c r="X219" s="44">
        <v>70.3</v>
      </c>
      <c r="Y219" s="54">
        <v>0.75</v>
      </c>
      <c r="Z219" s="47">
        <f t="shared" si="61"/>
        <v>0.340194</v>
      </c>
      <c r="AA219" s="1">
        <v>0.47</v>
      </c>
      <c r="AB219" s="47">
        <f t="shared" si="62"/>
        <v>0.21318823999999997</v>
      </c>
      <c r="AC219" s="1">
        <v>8.6</v>
      </c>
      <c r="AD219" s="1">
        <v>0.34</v>
      </c>
      <c r="AE219" s="6">
        <v>0.19</v>
      </c>
    </row>
    <row r="220" spans="1:31">
      <c r="A220" s="3"/>
      <c r="C220" s="47" t="str">
        <f t="shared" si="65"/>
        <v/>
      </c>
      <c r="D220" s="15">
        <v>1700</v>
      </c>
      <c r="E220" s="47">
        <f t="shared" si="63"/>
        <v>771.10640000000001</v>
      </c>
      <c r="F220" s="15"/>
      <c r="G220" s="15"/>
      <c r="H220" s="1">
        <v>3.5</v>
      </c>
      <c r="I220" s="47">
        <f t="shared" si="64"/>
        <v>1.587572</v>
      </c>
      <c r="J220" s="32">
        <v>23.57</v>
      </c>
      <c r="K220" s="25">
        <v>13.2</v>
      </c>
      <c r="L220" s="25">
        <v>7.5</v>
      </c>
      <c r="M220" s="25">
        <v>2.79</v>
      </c>
      <c r="N220" s="25">
        <v>0.11</v>
      </c>
      <c r="O220" s="33">
        <v>6.2E-2</v>
      </c>
      <c r="P220" s="51">
        <f t="shared" ref="P220:P226" si="66">J220*$B$1</f>
        <v>10.69116344</v>
      </c>
      <c r="Q220" s="51">
        <f t="shared" ref="Q220:Q226" si="67">K220</f>
        <v>13.2</v>
      </c>
      <c r="R220" s="51">
        <f t="shared" ref="R220:R226" si="68">L220*$B$1</f>
        <v>3.4019399999999997</v>
      </c>
      <c r="S220" s="51">
        <f t="shared" ref="S220:S226" si="69">M220*$B$1</f>
        <v>1.26552168</v>
      </c>
      <c r="T220" s="51">
        <f t="shared" ref="T220:T226" si="70">N220*$B$1</f>
        <v>4.9895120000000001E-2</v>
      </c>
      <c r="U220" s="51">
        <f t="shared" ref="U220:U226" si="71">O220*$B$1</f>
        <v>2.8122703999999998E-2</v>
      </c>
      <c r="V220" s="32">
        <v>33.5</v>
      </c>
      <c r="W220" s="51">
        <f t="shared" si="60"/>
        <v>15.195332000000001</v>
      </c>
      <c r="X220" s="44">
        <v>70.3</v>
      </c>
      <c r="Y220" s="54">
        <v>0.75</v>
      </c>
      <c r="Z220" s="47">
        <f t="shared" si="61"/>
        <v>0.340194</v>
      </c>
      <c r="AA220" s="1">
        <v>0.47</v>
      </c>
      <c r="AB220" s="47">
        <f t="shared" si="62"/>
        <v>0.21318823999999997</v>
      </c>
      <c r="AC220" s="1">
        <v>8.3000000000000007</v>
      </c>
      <c r="AD220" s="1">
        <v>0.33</v>
      </c>
      <c r="AE220" s="6">
        <v>0.19</v>
      </c>
    </row>
    <row r="221" spans="1:31">
      <c r="A221" s="13"/>
      <c r="B221" s="8"/>
      <c r="C221" s="47" t="str">
        <f t="shared" si="65"/>
        <v/>
      </c>
      <c r="D221" s="16">
        <v>1800</v>
      </c>
      <c r="E221" s="47">
        <f t="shared" si="63"/>
        <v>816.46559999999999</v>
      </c>
      <c r="F221" s="16"/>
      <c r="G221" s="16"/>
      <c r="H221" s="1">
        <v>3.5</v>
      </c>
      <c r="I221" s="47">
        <f t="shared" si="64"/>
        <v>1.587572</v>
      </c>
      <c r="J221" s="34">
        <v>24.62</v>
      </c>
      <c r="K221" s="35">
        <v>13.8</v>
      </c>
      <c r="L221" s="35">
        <v>7.8</v>
      </c>
      <c r="M221" s="35">
        <v>2.82</v>
      </c>
      <c r="N221" s="35">
        <v>0.11</v>
      </c>
      <c r="O221" s="36">
        <v>6.3E-2</v>
      </c>
      <c r="P221" s="51">
        <f t="shared" si="66"/>
        <v>11.167435040000001</v>
      </c>
      <c r="Q221" s="51">
        <f t="shared" si="67"/>
        <v>13.8</v>
      </c>
      <c r="R221" s="51">
        <f t="shared" si="68"/>
        <v>3.5380175999999999</v>
      </c>
      <c r="S221" s="51">
        <f t="shared" si="69"/>
        <v>1.27912944</v>
      </c>
      <c r="T221" s="51">
        <f t="shared" si="70"/>
        <v>4.9895120000000001E-2</v>
      </c>
      <c r="U221" s="51">
        <f t="shared" si="71"/>
        <v>2.8576296000000001E-2</v>
      </c>
      <c r="V221" s="34">
        <v>35</v>
      </c>
      <c r="W221" s="51">
        <f t="shared" si="60"/>
        <v>15.875719999999999</v>
      </c>
      <c r="X221" s="46">
        <v>70.400000000000006</v>
      </c>
      <c r="Y221" s="56">
        <v>0.75</v>
      </c>
      <c r="Z221" s="47">
        <f>IF(Y221&gt;0,(Y221*$B$1),"")</f>
        <v>0.340194</v>
      </c>
      <c r="AA221" s="8">
        <v>0.47</v>
      </c>
      <c r="AB221" s="47">
        <f t="shared" si="62"/>
        <v>0.21318823999999997</v>
      </c>
      <c r="AC221" s="8">
        <v>8.1</v>
      </c>
      <c r="AD221" s="8">
        <v>0.31</v>
      </c>
      <c r="AE221" s="9">
        <v>0.18</v>
      </c>
    </row>
    <row r="222" spans="1:31">
      <c r="C222" s="47" t="str">
        <f t="shared" si="65"/>
        <v/>
      </c>
      <c r="P222" s="51">
        <f t="shared" si="66"/>
        <v>0</v>
      </c>
      <c r="Q222" s="51">
        <f t="shared" si="67"/>
        <v>0</v>
      </c>
      <c r="R222" s="51">
        <f t="shared" si="68"/>
        <v>0</v>
      </c>
      <c r="S222" s="51">
        <f t="shared" si="69"/>
        <v>0</v>
      </c>
      <c r="T222" s="51">
        <f t="shared" si="70"/>
        <v>0</v>
      </c>
      <c r="U222" s="51">
        <f t="shared" si="71"/>
        <v>0</v>
      </c>
    </row>
    <row r="223" spans="1:31">
      <c r="A223" s="11"/>
      <c r="B223" s="10"/>
      <c r="C223" s="47" t="str">
        <f t="shared" si="65"/>
        <v/>
      </c>
      <c r="D223" s="10"/>
      <c r="E223" s="53"/>
      <c r="F223" s="10"/>
      <c r="G223" s="10"/>
      <c r="H223" s="10"/>
      <c r="I223" s="57"/>
      <c r="J223" s="26" t="s">
        <v>10</v>
      </c>
      <c r="K223" s="27"/>
      <c r="L223" s="27"/>
      <c r="M223" s="27"/>
      <c r="N223" s="27"/>
      <c r="O223" s="28"/>
      <c r="P223" s="51" t="e">
        <f t="shared" si="66"/>
        <v>#VALUE!</v>
      </c>
      <c r="Q223" s="51">
        <f t="shared" si="67"/>
        <v>0</v>
      </c>
      <c r="R223" s="51">
        <f t="shared" si="68"/>
        <v>0</v>
      </c>
      <c r="S223" s="51">
        <f t="shared" si="69"/>
        <v>0</v>
      </c>
      <c r="T223" s="51">
        <f t="shared" si="70"/>
        <v>0</v>
      </c>
      <c r="U223" s="51">
        <f t="shared" si="71"/>
        <v>0</v>
      </c>
      <c r="V223" s="21" t="s">
        <v>21</v>
      </c>
      <c r="W223" s="21"/>
      <c r="X223" s="21"/>
      <c r="Y223" s="21"/>
      <c r="Z223" s="21"/>
      <c r="AA223" s="21"/>
      <c r="AB223" s="21"/>
      <c r="AC223" s="21"/>
      <c r="AD223" s="21"/>
      <c r="AE223" s="22"/>
    </row>
    <row r="224" spans="1:31" ht="26">
      <c r="A224" s="12" t="s">
        <v>72</v>
      </c>
      <c r="B224" s="2" t="s">
        <v>27</v>
      </c>
      <c r="C224" s="47" t="s">
        <v>132</v>
      </c>
      <c r="D224" s="2"/>
      <c r="E224" s="49"/>
      <c r="F224" s="2"/>
      <c r="G224" s="2"/>
      <c r="H224" s="2"/>
      <c r="I224" s="45"/>
      <c r="J224" s="29" t="s">
        <v>11</v>
      </c>
      <c r="K224" s="30" t="s">
        <v>23</v>
      </c>
      <c r="L224" s="30" t="s">
        <v>24</v>
      </c>
      <c r="M224" s="30" t="s">
        <v>12</v>
      </c>
      <c r="N224" s="30" t="s">
        <v>13</v>
      </c>
      <c r="O224" s="31" t="s">
        <v>14</v>
      </c>
      <c r="P224" s="48" t="s">
        <v>130</v>
      </c>
      <c r="Q224" s="49" t="s">
        <v>23</v>
      </c>
      <c r="R224" s="49" t="s">
        <v>129</v>
      </c>
      <c r="S224" s="49" t="s">
        <v>117</v>
      </c>
      <c r="T224" s="49" t="s">
        <v>118</v>
      </c>
      <c r="U224" s="50" t="s">
        <v>119</v>
      </c>
      <c r="V224" s="29" t="s">
        <v>15</v>
      </c>
      <c r="W224" s="48" t="s">
        <v>120</v>
      </c>
      <c r="X224" s="45" t="s">
        <v>16</v>
      </c>
      <c r="Y224" s="55" t="s">
        <v>17</v>
      </c>
      <c r="Z224" s="49"/>
      <c r="AA224" s="2" t="s">
        <v>24</v>
      </c>
      <c r="AB224" s="49"/>
      <c r="AC224" s="2" t="s">
        <v>18</v>
      </c>
      <c r="AD224" s="2" t="s">
        <v>19</v>
      </c>
      <c r="AE224" s="4" t="s">
        <v>20</v>
      </c>
    </row>
    <row r="225" spans="1:31">
      <c r="A225" s="3"/>
      <c r="B225" s="1">
        <v>1800</v>
      </c>
      <c r="C225" s="47">
        <f t="shared" si="65"/>
        <v>816.46559999999999</v>
      </c>
      <c r="J225" s="32">
        <v>16</v>
      </c>
      <c r="K225" s="25">
        <v>13.8</v>
      </c>
      <c r="M225" s="25">
        <v>1.86</v>
      </c>
      <c r="N225" s="25">
        <v>5.2999999999999999E-2</v>
      </c>
      <c r="O225" s="33">
        <v>4.1000000000000002E-2</v>
      </c>
      <c r="P225" s="51">
        <f t="shared" si="66"/>
        <v>7.2574719999999999</v>
      </c>
      <c r="Q225" s="51">
        <f t="shared" si="67"/>
        <v>13.8</v>
      </c>
      <c r="R225" s="51">
        <f t="shared" si="68"/>
        <v>0</v>
      </c>
      <c r="S225" s="51">
        <f t="shared" si="69"/>
        <v>0.84368112000000006</v>
      </c>
      <c r="T225" s="51">
        <f t="shared" si="70"/>
        <v>2.4040375999999999E-2</v>
      </c>
      <c r="U225" s="51">
        <f t="shared" si="71"/>
        <v>1.8597272000000001E-2</v>
      </c>
      <c r="V225" s="25">
        <v>32.700000000000003</v>
      </c>
      <c r="W225" s="47">
        <f>V225*$B$1</f>
        <v>14.832458400000002</v>
      </c>
      <c r="X225" s="44">
        <v>48.9</v>
      </c>
      <c r="Y225" s="54">
        <v>0.42</v>
      </c>
      <c r="Z225" s="47">
        <f>IF(Y225&gt;0,(Y225*$B$1),"")</f>
        <v>0.19050863999999998</v>
      </c>
      <c r="AA225" s="1">
        <v>0.18</v>
      </c>
      <c r="AB225" s="47">
        <f>IF(AA225&gt;0,(AA225*$B$1),"")</f>
        <v>8.1646559999999993E-2</v>
      </c>
      <c r="AC225" s="1">
        <v>5.7</v>
      </c>
      <c r="AD225" s="1">
        <v>0.16</v>
      </c>
      <c r="AE225" s="6">
        <v>0.12</v>
      </c>
    </row>
    <row r="226" spans="1:31">
      <c r="A226" s="13"/>
      <c r="B226" s="8">
        <v>2200</v>
      </c>
      <c r="C226" s="47">
        <f t="shared" si="65"/>
        <v>997.90239999999994</v>
      </c>
      <c r="D226" s="8"/>
      <c r="E226" s="52"/>
      <c r="F226" s="8"/>
      <c r="G226" s="8"/>
      <c r="H226" s="8"/>
      <c r="I226" s="46"/>
      <c r="J226" s="34">
        <v>18.600000000000001</v>
      </c>
      <c r="K226" s="35">
        <v>16</v>
      </c>
      <c r="L226" s="35"/>
      <c r="M226" s="35">
        <v>2.16</v>
      </c>
      <c r="N226" s="35">
        <v>6.5000000000000002E-2</v>
      </c>
      <c r="O226" s="36">
        <v>0.05</v>
      </c>
      <c r="P226" s="51">
        <f t="shared" si="66"/>
        <v>8.4368112000000011</v>
      </c>
      <c r="Q226" s="51">
        <f t="shared" si="67"/>
        <v>16</v>
      </c>
      <c r="R226" s="51">
        <f t="shared" si="68"/>
        <v>0</v>
      </c>
      <c r="S226" s="51">
        <f t="shared" si="69"/>
        <v>0.97975872000000008</v>
      </c>
      <c r="T226" s="51">
        <f t="shared" si="70"/>
        <v>2.9483479999999999E-2</v>
      </c>
      <c r="U226" s="51">
        <f t="shared" si="71"/>
        <v>2.2679600000000001E-2</v>
      </c>
      <c r="V226" s="35">
        <v>38</v>
      </c>
      <c r="W226" s="47">
        <f>V226*$B$1</f>
        <v>17.236495999999999</v>
      </c>
      <c r="X226" s="46">
        <v>48.9</v>
      </c>
      <c r="Y226" s="56">
        <v>0.42</v>
      </c>
      <c r="Z226" s="47">
        <f>IF(Y226&gt;0,(Y226*$B$1),"")</f>
        <v>0.19050863999999998</v>
      </c>
      <c r="AA226" s="8">
        <v>0.18</v>
      </c>
      <c r="AB226" s="52"/>
      <c r="AC226" s="8">
        <v>5.7</v>
      </c>
      <c r="AD226" s="8">
        <v>0.17</v>
      </c>
      <c r="AE226" s="9">
        <v>0.13</v>
      </c>
    </row>
    <row r="285" spans="10:24">
      <c r="J285" s="25" t="s">
        <v>44</v>
      </c>
      <c r="K285" s="25" t="s">
        <v>45</v>
      </c>
      <c r="L285" s="25" t="s">
        <v>46</v>
      </c>
      <c r="M285" s="25" t="s">
        <v>47</v>
      </c>
      <c r="N285" s="25" t="s">
        <v>48</v>
      </c>
    </row>
    <row r="286" spans="10:24">
      <c r="J286" s="25" t="s">
        <v>49</v>
      </c>
      <c r="K286" s="25" t="s">
        <v>50</v>
      </c>
      <c r="L286" s="25" t="s">
        <v>51</v>
      </c>
      <c r="M286" s="25" t="s">
        <v>52</v>
      </c>
      <c r="N286" s="25" t="s">
        <v>53</v>
      </c>
      <c r="O286" s="25" t="s">
        <v>54</v>
      </c>
      <c r="V286" s="25" t="s">
        <v>55</v>
      </c>
      <c r="X286" s="44" t="s">
        <v>56</v>
      </c>
    </row>
    <row r="287" spans="10:24">
      <c r="J287" s="25" t="s">
        <v>57</v>
      </c>
      <c r="K287" s="25">
        <v>1</v>
      </c>
      <c r="L287" s="25" t="s">
        <v>58</v>
      </c>
      <c r="M287" s="25" t="s">
        <v>59</v>
      </c>
      <c r="N287" s="25" t="s">
        <v>60</v>
      </c>
    </row>
    <row r="288" spans="10:24">
      <c r="J288" s="25" t="s">
        <v>57</v>
      </c>
      <c r="K288" s="25">
        <v>2</v>
      </c>
      <c r="L288" s="25" t="s">
        <v>61</v>
      </c>
      <c r="M288" s="25" t="s">
        <v>62</v>
      </c>
      <c r="N288" s="25" t="s">
        <v>63</v>
      </c>
      <c r="O288" s="25" t="s">
        <v>64</v>
      </c>
    </row>
    <row r="289" spans="10:15">
      <c r="J289" s="25" t="s">
        <v>57</v>
      </c>
      <c r="K289" s="25">
        <v>3</v>
      </c>
      <c r="L289" s="25" t="s">
        <v>58</v>
      </c>
      <c r="M289" s="25" t="s">
        <v>65</v>
      </c>
      <c r="N289" s="25" t="s">
        <v>66</v>
      </c>
      <c r="O289" s="25" t="s">
        <v>67</v>
      </c>
    </row>
    <row r="290" spans="10:15">
      <c r="J290" s="25" t="s">
        <v>57</v>
      </c>
      <c r="K290" s="25">
        <v>4</v>
      </c>
      <c r="L290" s="25" t="s">
        <v>68</v>
      </c>
      <c r="M290" s="25" t="s">
        <v>69</v>
      </c>
      <c r="N290" s="25" t="s">
        <v>70</v>
      </c>
    </row>
    <row r="291" spans="10:15">
      <c r="J291" s="25" t="s">
        <v>71</v>
      </c>
      <c r="K291" s="25" t="s">
        <v>54</v>
      </c>
    </row>
  </sheetData>
  <mergeCells count="18">
    <mergeCell ref="J132:O132"/>
    <mergeCell ref="V132:AE132"/>
    <mergeCell ref="J160:O160"/>
    <mergeCell ref="V160:AE160"/>
    <mergeCell ref="J223:O223"/>
    <mergeCell ref="V223:AE223"/>
    <mergeCell ref="J52:O52"/>
    <mergeCell ref="V52:AE52"/>
    <mergeCell ref="J70:O70"/>
    <mergeCell ref="V70:AE70"/>
    <mergeCell ref="J93:O93"/>
    <mergeCell ref="V93:AE93"/>
    <mergeCell ref="J10:N10"/>
    <mergeCell ref="O10:AC10"/>
    <mergeCell ref="J25:O25"/>
    <mergeCell ref="V25:AE25"/>
    <mergeCell ref="J40:O40"/>
    <mergeCell ref="V40:AE4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5A8E6-E747-EA48-ACE1-F2E84F87BFCB}">
  <dimension ref="A1:AE291"/>
  <sheetViews>
    <sheetView topLeftCell="A53" workbookViewId="0">
      <selection activeCell="I71" sqref="I71"/>
    </sheetView>
  </sheetViews>
  <sheetFormatPr baseColWidth="10" defaultRowHeight="12"/>
  <cols>
    <col min="1" max="1" width="14.83203125" style="2" customWidth="1"/>
    <col min="2" max="2" width="13.6640625" style="1" bestFit="1" customWidth="1"/>
    <col min="3" max="3" width="13.6640625" style="47" customWidth="1"/>
    <col min="4" max="4" width="10.83203125" style="1"/>
    <col min="5" max="5" width="10.83203125" style="47"/>
    <col min="6" max="7" width="10.83203125" style="1"/>
    <col min="8" max="8" width="12.6640625" style="1" bestFit="1" customWidth="1"/>
    <col min="9" max="9" width="12.6640625" style="44" customWidth="1"/>
    <col min="10" max="15" width="7.83203125" style="25" customWidth="1"/>
    <col min="16" max="21" width="7.83203125" style="47" customWidth="1"/>
    <col min="22" max="22" width="7.83203125" style="25" customWidth="1"/>
    <col min="23" max="23" width="7.83203125" style="47" customWidth="1"/>
    <col min="24" max="24" width="7.83203125" style="44" customWidth="1"/>
    <col min="25" max="25" width="7.83203125" style="54" customWidth="1"/>
    <col min="26" max="26" width="7.83203125" style="47" customWidth="1"/>
    <col min="27" max="27" width="7.83203125" style="1" customWidth="1"/>
    <col min="28" max="28" width="7.83203125" style="47" customWidth="1"/>
    <col min="29" max="29" width="7.83203125" style="1" customWidth="1"/>
    <col min="30" max="16384" width="10.83203125" style="1"/>
  </cols>
  <sheetData>
    <row r="1" spans="1:31" ht="13">
      <c r="A1" s="14" t="s">
        <v>1</v>
      </c>
      <c r="F1" s="1" t="s">
        <v>32</v>
      </c>
    </row>
    <row r="2" spans="1:31">
      <c r="A2" s="14"/>
      <c r="F2" s="1" t="s">
        <v>33</v>
      </c>
    </row>
    <row r="3" spans="1:31">
      <c r="A3" s="1">
        <v>0.453592</v>
      </c>
      <c r="F3" s="1" t="s">
        <v>34</v>
      </c>
    </row>
    <row r="4" spans="1:31">
      <c r="A4" s="14"/>
      <c r="F4" s="1" t="s">
        <v>35</v>
      </c>
    </row>
    <row r="5" spans="1:31">
      <c r="A5" s="14"/>
      <c r="F5" s="1" t="s">
        <v>36</v>
      </c>
    </row>
    <row r="6" spans="1:31">
      <c r="A6" s="14"/>
      <c r="F6" s="1" t="s">
        <v>37</v>
      </c>
    </row>
    <row r="7" spans="1:31">
      <c r="A7" s="14"/>
      <c r="F7" s="1" t="s">
        <v>38</v>
      </c>
    </row>
    <row r="8" spans="1:31">
      <c r="F8" s="1" t="s">
        <v>39</v>
      </c>
    </row>
    <row r="9" spans="1:31">
      <c r="A9" s="1" t="s">
        <v>0</v>
      </c>
    </row>
    <row r="10" spans="1:31">
      <c r="A10" s="11"/>
      <c r="B10" s="10"/>
      <c r="C10" s="53"/>
      <c r="D10" s="10"/>
      <c r="E10" s="53"/>
      <c r="F10" s="10"/>
      <c r="G10" s="10"/>
      <c r="H10" s="10"/>
      <c r="I10" s="57"/>
      <c r="J10" s="26" t="s">
        <v>10</v>
      </c>
      <c r="K10" s="27"/>
      <c r="L10" s="27"/>
      <c r="M10" s="27"/>
      <c r="N10" s="28"/>
      <c r="O10" s="20" t="s">
        <v>21</v>
      </c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2"/>
    </row>
    <row r="11" spans="1:31" ht="26">
      <c r="A11" s="12" t="s">
        <v>2</v>
      </c>
      <c r="B11" s="2" t="s">
        <v>3</v>
      </c>
      <c r="C11" s="2" t="s">
        <v>132</v>
      </c>
      <c r="F11" s="2" t="s">
        <v>4</v>
      </c>
      <c r="G11" s="2" t="s">
        <v>5</v>
      </c>
      <c r="J11" s="29" t="s">
        <v>11</v>
      </c>
      <c r="K11" s="30" t="s">
        <v>23</v>
      </c>
      <c r="L11" s="30"/>
      <c r="M11" s="30" t="s">
        <v>12</v>
      </c>
      <c r="N11" s="30" t="s">
        <v>13</v>
      </c>
      <c r="O11" s="31" t="s">
        <v>14</v>
      </c>
      <c r="P11" s="48" t="s">
        <v>130</v>
      </c>
      <c r="Q11" s="49" t="s">
        <v>23</v>
      </c>
      <c r="R11" s="49" t="s">
        <v>129</v>
      </c>
      <c r="S11" s="49" t="s">
        <v>117</v>
      </c>
      <c r="T11" s="49" t="s">
        <v>118</v>
      </c>
      <c r="U11" s="50" t="s">
        <v>119</v>
      </c>
      <c r="V11" s="29" t="s">
        <v>15</v>
      </c>
      <c r="W11" s="48" t="s">
        <v>120</v>
      </c>
      <c r="X11" s="45" t="s">
        <v>16</v>
      </c>
      <c r="Y11" s="55" t="s">
        <v>17</v>
      </c>
      <c r="Z11" s="49" t="s">
        <v>126</v>
      </c>
      <c r="AA11" s="2" t="s">
        <v>24</v>
      </c>
      <c r="AB11" s="49" t="s">
        <v>127</v>
      </c>
      <c r="AC11" s="2" t="s">
        <v>18</v>
      </c>
      <c r="AD11" s="2" t="s">
        <v>19</v>
      </c>
      <c r="AE11" s="4" t="s">
        <v>20</v>
      </c>
    </row>
    <row r="12" spans="1:31">
      <c r="A12" s="3"/>
      <c r="B12" s="1">
        <v>1300</v>
      </c>
      <c r="C12" s="47">
        <f>IF(B12&gt;0,(B12*$A$3),"")</f>
        <v>589.66959999999995</v>
      </c>
      <c r="F12" s="1">
        <v>1</v>
      </c>
      <c r="G12" s="1" t="s">
        <v>6</v>
      </c>
      <c r="J12" s="32">
        <v>15.88</v>
      </c>
      <c r="K12" s="25">
        <v>15.6</v>
      </c>
      <c r="M12" s="25">
        <v>2.75</v>
      </c>
      <c r="N12" s="25">
        <v>7.4999999999999997E-2</v>
      </c>
      <c r="O12" s="33">
        <v>0.05</v>
      </c>
      <c r="P12" s="51">
        <f>J12*$A$3</f>
        <v>7.20304096</v>
      </c>
      <c r="Q12" s="51">
        <f>K12</f>
        <v>15.6</v>
      </c>
      <c r="R12" s="51">
        <f>L12*$A$3</f>
        <v>0</v>
      </c>
      <c r="S12" s="51">
        <f>M12*$A$3</f>
        <v>1.2473779999999999</v>
      </c>
      <c r="T12" s="51">
        <f>N12*$A$3</f>
        <v>3.4019399999999998E-2</v>
      </c>
      <c r="U12" s="51">
        <f>O12*$A$3</f>
        <v>2.2679600000000001E-2</v>
      </c>
      <c r="V12" s="32">
        <v>27</v>
      </c>
      <c r="W12" s="51">
        <f>V12*$A$3</f>
        <v>12.246983999999999</v>
      </c>
      <c r="X12" s="44">
        <v>58.9</v>
      </c>
      <c r="Y12" s="54">
        <v>0.57999999999999996</v>
      </c>
      <c r="Z12" s="47">
        <f>IF(Y12&gt;0,(Y12*$A$3),"")</f>
        <v>0.26308335999999999</v>
      </c>
      <c r="AB12" s="47" t="str">
        <f>IF(AA12&gt;0,(AA12*$A$3),"")</f>
        <v/>
      </c>
      <c r="AC12" s="1">
        <v>10.199999999999999</v>
      </c>
      <c r="AD12" s="1">
        <v>0.28000000000000003</v>
      </c>
      <c r="AE12" s="6">
        <v>0.19</v>
      </c>
    </row>
    <row r="13" spans="1:31">
      <c r="A13" s="3"/>
      <c r="C13" s="47" t="str">
        <f>IF(B13&gt;0,(B13*$A$3),"")</f>
        <v/>
      </c>
      <c r="F13" s="1">
        <v>2</v>
      </c>
      <c r="G13" s="1" t="s">
        <v>6</v>
      </c>
      <c r="J13" s="32">
        <v>16.72</v>
      </c>
      <c r="K13" s="25">
        <v>16.600000000000001</v>
      </c>
      <c r="M13" s="25">
        <v>3.02</v>
      </c>
      <c r="N13" s="25">
        <v>8.3000000000000004E-2</v>
      </c>
      <c r="O13" s="33">
        <v>5.5E-2</v>
      </c>
      <c r="P13" s="51">
        <f>J13*$A$3</f>
        <v>7.5840582399999992</v>
      </c>
      <c r="Q13" s="51">
        <f t="shared" ref="Q13:Q23" si="0">K13</f>
        <v>16.600000000000001</v>
      </c>
      <c r="R13" s="51">
        <f>L13*$A$3</f>
        <v>0</v>
      </c>
      <c r="S13" s="51">
        <f>M13*$A$3</f>
        <v>1.36984784</v>
      </c>
      <c r="T13" s="51">
        <f>N13*$A$3</f>
        <v>3.7648135999999999E-2</v>
      </c>
      <c r="U13" s="51">
        <f>O13*$A$3</f>
        <v>2.4947560000000001E-2</v>
      </c>
      <c r="V13" s="32">
        <v>27.8</v>
      </c>
      <c r="W13" s="51">
        <f>V13*$A$3</f>
        <v>12.6098576</v>
      </c>
      <c r="X13" s="44">
        <v>60.1</v>
      </c>
      <c r="Y13" s="54">
        <v>0.6</v>
      </c>
      <c r="Z13" s="47">
        <f>IF(Y13&gt;0,(Y13*$A$3),"")</f>
        <v>0.27215519999999999</v>
      </c>
      <c r="AB13" s="47" t="str">
        <f>IF(AA13&gt;0,(AA13*$A$3),"")</f>
        <v/>
      </c>
      <c r="AC13" s="1">
        <v>10.9</v>
      </c>
      <c r="AD13" s="1">
        <v>0.3</v>
      </c>
      <c r="AE13" s="6">
        <v>0.2</v>
      </c>
    </row>
    <row r="14" spans="1:31">
      <c r="A14" s="3"/>
      <c r="C14" s="47" t="str">
        <f>IF(B14&gt;0,(B14*$A$3),"")</f>
        <v/>
      </c>
      <c r="F14" s="1">
        <v>3</v>
      </c>
      <c r="G14" s="1" t="s">
        <v>6</v>
      </c>
      <c r="J14" s="32">
        <v>16.3</v>
      </c>
      <c r="K14" s="25">
        <v>16.100000000000001</v>
      </c>
      <c r="M14" s="25">
        <v>2.88</v>
      </c>
      <c r="N14" s="25">
        <v>7.9000000000000001E-2</v>
      </c>
      <c r="O14" s="33">
        <v>5.1999999999999998E-2</v>
      </c>
      <c r="P14" s="51">
        <f>J14*$A$3</f>
        <v>7.3935496000000001</v>
      </c>
      <c r="Q14" s="51">
        <f t="shared" si="0"/>
        <v>16.100000000000001</v>
      </c>
      <c r="R14" s="51">
        <f>L14*$A$3</f>
        <v>0</v>
      </c>
      <c r="S14" s="51">
        <f>M14*$A$3</f>
        <v>1.3063449599999999</v>
      </c>
      <c r="T14" s="51">
        <f>N14*$A$3</f>
        <v>3.5833768000000002E-2</v>
      </c>
      <c r="U14" s="51">
        <f>O14*$A$3</f>
        <v>2.3586784E-2</v>
      </c>
      <c r="V14" s="32">
        <v>27.4</v>
      </c>
      <c r="W14" s="51">
        <f>V14*$A$3</f>
        <v>12.4284208</v>
      </c>
      <c r="X14" s="44">
        <v>59.5</v>
      </c>
      <c r="Y14" s="54">
        <v>0.59</v>
      </c>
      <c r="Z14" s="47">
        <f>IF(Y14&gt;0,(Y14*$A$3),"")</f>
        <v>0.26761927999999996</v>
      </c>
      <c r="AB14" s="47" t="str">
        <f>IF(AA14&gt;0,(AA14*$A$3),"")</f>
        <v/>
      </c>
      <c r="AC14" s="1">
        <v>10.5</v>
      </c>
      <c r="AD14" s="1">
        <v>0.28999999999999998</v>
      </c>
      <c r="AE14" s="6">
        <v>0.19</v>
      </c>
    </row>
    <row r="15" spans="1:31">
      <c r="A15" s="3"/>
      <c r="C15" s="47" t="str">
        <f>IF(B15&gt;0,(B15*$A$3),"")</f>
        <v/>
      </c>
      <c r="F15" s="1">
        <v>4</v>
      </c>
      <c r="G15" s="1" t="s">
        <v>7</v>
      </c>
      <c r="J15" s="32">
        <v>15.38</v>
      </c>
      <c r="K15" s="25">
        <v>15</v>
      </c>
      <c r="M15" s="25">
        <v>2.6</v>
      </c>
      <c r="N15" s="25">
        <v>7.0999999999999994E-2</v>
      </c>
      <c r="O15" s="33">
        <v>4.8000000000000001E-2</v>
      </c>
      <c r="P15" s="51">
        <f>J15*$A$3</f>
        <v>6.9762449600000007</v>
      </c>
      <c r="Q15" s="51">
        <f t="shared" si="0"/>
        <v>15</v>
      </c>
      <c r="R15" s="51">
        <f>L15*$A$3</f>
        <v>0</v>
      </c>
      <c r="S15" s="51">
        <f>M15*$A$3</f>
        <v>1.1793392</v>
      </c>
      <c r="T15" s="51">
        <f>N15*$A$3</f>
        <v>3.2205031999999995E-2</v>
      </c>
      <c r="U15" s="51">
        <f>O15*$A$3</f>
        <v>2.1772415999999999E-2</v>
      </c>
      <c r="V15" s="32">
        <v>26.4</v>
      </c>
      <c r="W15" s="51">
        <f>V15*$A$3</f>
        <v>11.974828799999999</v>
      </c>
      <c r="X15" s="44">
        <v>58.2</v>
      </c>
      <c r="Y15" s="54">
        <v>0.56999999999999995</v>
      </c>
      <c r="Z15" s="47">
        <f>IF(Y15&gt;0,(Y15*$A$3),"")</f>
        <v>0.25854743999999996</v>
      </c>
      <c r="AB15" s="47" t="str">
        <f>IF(AA15&gt;0,(AA15*$A$3),"")</f>
        <v/>
      </c>
      <c r="AC15" s="1">
        <v>9.8000000000000007</v>
      </c>
      <c r="AD15" s="1">
        <v>0.27</v>
      </c>
      <c r="AE15" s="6">
        <v>0.18</v>
      </c>
    </row>
    <row r="16" spans="1:31">
      <c r="A16" s="3"/>
      <c r="C16" s="47" t="str">
        <f>IF(B16&gt;0,(B16*$A$3),"")</f>
        <v/>
      </c>
      <c r="F16" s="1">
        <v>5</v>
      </c>
      <c r="G16" s="1" t="s">
        <v>7</v>
      </c>
      <c r="J16" s="32">
        <v>14.54</v>
      </c>
      <c r="K16" s="25">
        <v>14</v>
      </c>
      <c r="M16" s="25">
        <v>2.3199999999999998</v>
      </c>
      <c r="N16" s="25">
        <v>6.3E-2</v>
      </c>
      <c r="O16" s="33">
        <v>4.2999999999999997E-2</v>
      </c>
      <c r="P16" s="51">
        <f>J16*$A$3</f>
        <v>6.5952276799999998</v>
      </c>
      <c r="Q16" s="51">
        <f t="shared" si="0"/>
        <v>14</v>
      </c>
      <c r="R16" s="51">
        <f>L16*$A$3</f>
        <v>0</v>
      </c>
      <c r="S16" s="51">
        <f>M16*$A$3</f>
        <v>1.05233344</v>
      </c>
      <c r="T16" s="51">
        <f>N16*$A$3</f>
        <v>2.8576296000000001E-2</v>
      </c>
      <c r="U16" s="51">
        <f>O16*$A$3</f>
        <v>1.9504456E-2</v>
      </c>
      <c r="V16" s="32">
        <v>25.5</v>
      </c>
      <c r="W16" s="51">
        <f>V16*$A$3</f>
        <v>11.566596000000001</v>
      </c>
      <c r="X16" s="44">
        <v>56.9</v>
      </c>
      <c r="Y16" s="54">
        <v>0.55000000000000004</v>
      </c>
      <c r="Z16" s="47">
        <f>IF(Y16&gt;0,(Y16*$A$3),"")</f>
        <v>0.24947560000000002</v>
      </c>
      <c r="AB16" s="47" t="str">
        <f>IF(AA16&gt;0,(AA16*$A$3),"")</f>
        <v/>
      </c>
      <c r="AC16" s="1">
        <v>9.1</v>
      </c>
      <c r="AD16" s="1">
        <v>0.25</v>
      </c>
      <c r="AE16" s="6">
        <v>0.17</v>
      </c>
    </row>
    <row r="17" spans="1:31">
      <c r="A17" s="3"/>
      <c r="C17" s="47" t="str">
        <f>IF(B17&gt;0,(B17*$A$3),"")</f>
        <v/>
      </c>
      <c r="F17" s="1">
        <v>6</v>
      </c>
      <c r="G17" s="1" t="s">
        <v>7</v>
      </c>
      <c r="J17" s="32">
        <v>13.86</v>
      </c>
      <c r="K17" s="25">
        <v>13.2</v>
      </c>
      <c r="M17" s="25">
        <v>2.1</v>
      </c>
      <c r="N17" s="25">
        <v>5.6000000000000001E-2</v>
      </c>
      <c r="O17" s="33">
        <v>3.9E-2</v>
      </c>
      <c r="P17" s="51">
        <f>J17*$A$3</f>
        <v>6.2867851199999993</v>
      </c>
      <c r="Q17" s="51">
        <f t="shared" si="0"/>
        <v>13.2</v>
      </c>
      <c r="R17" s="51">
        <f>L17*$A$3</f>
        <v>0</v>
      </c>
      <c r="S17" s="51">
        <f>M17*$A$3</f>
        <v>0.95254320000000003</v>
      </c>
      <c r="T17" s="51">
        <f>N17*$A$3</f>
        <v>2.5401152E-2</v>
      </c>
      <c r="U17" s="51">
        <f>O17*$A$3</f>
        <v>1.7690088E-2</v>
      </c>
      <c r="V17" s="32">
        <v>24.8</v>
      </c>
      <c r="W17" s="51">
        <f>V17*$A$3</f>
        <v>11.2490816</v>
      </c>
      <c r="X17" s="44">
        <v>55.9</v>
      </c>
      <c r="Y17" s="54">
        <v>0.53</v>
      </c>
      <c r="Z17" s="47">
        <f>IF(Y17&gt;0,(Y17*$A$3),"")</f>
        <v>0.24040376000000002</v>
      </c>
      <c r="AB17" s="47" t="str">
        <f>IF(AA17&gt;0,(AA17*$A$3),"")</f>
        <v/>
      </c>
      <c r="AC17" s="1">
        <v>8.5</v>
      </c>
      <c r="AD17" s="1">
        <v>0.23</v>
      </c>
      <c r="AE17" s="6">
        <v>0.16</v>
      </c>
    </row>
    <row r="18" spans="1:31">
      <c r="A18" s="3"/>
      <c r="C18" s="47" t="str">
        <f>IF(B18&gt;0,(B18*$A$3),"")</f>
        <v/>
      </c>
      <c r="F18" s="1">
        <v>7</v>
      </c>
      <c r="G18" s="1" t="s">
        <v>8</v>
      </c>
      <c r="J18" s="32">
        <v>13.42</v>
      </c>
      <c r="K18" s="25">
        <v>12.7</v>
      </c>
      <c r="M18" s="25">
        <v>1.93</v>
      </c>
      <c r="N18" s="25">
        <v>5.0999999999999997E-2</v>
      </c>
      <c r="O18" s="33">
        <v>3.5999999999999997E-2</v>
      </c>
      <c r="P18" s="51">
        <f>J18*$A$3</f>
        <v>6.0872046399999995</v>
      </c>
      <c r="Q18" s="51">
        <f t="shared" si="0"/>
        <v>12.7</v>
      </c>
      <c r="R18" s="51">
        <f>L18*$A$3</f>
        <v>0</v>
      </c>
      <c r="S18" s="51">
        <f>M18*$A$3</f>
        <v>0.87543255999999992</v>
      </c>
      <c r="T18" s="51">
        <f>N18*$A$3</f>
        <v>2.3133191999999997E-2</v>
      </c>
      <c r="U18" s="51">
        <f>O18*$A$3</f>
        <v>1.6329311999999999E-2</v>
      </c>
      <c r="V18" s="32">
        <v>24.3</v>
      </c>
      <c r="W18" s="51">
        <f>V18*$A$3</f>
        <v>11.0222856</v>
      </c>
      <c r="X18" s="44">
        <v>55.3</v>
      </c>
      <c r="Y18" s="54">
        <v>0.52</v>
      </c>
      <c r="Z18" s="47">
        <f>IF(Y18&gt;0,(Y18*$A$3),"")</f>
        <v>0.23586784</v>
      </c>
      <c r="AB18" s="47" t="str">
        <f>IF(AA18&gt;0,(AA18*$A$3),"")</f>
        <v/>
      </c>
      <c r="AC18" s="1">
        <v>8</v>
      </c>
      <c r="AD18" s="1">
        <v>0.21</v>
      </c>
      <c r="AE18" s="6">
        <v>0.15</v>
      </c>
    </row>
    <row r="19" spans="1:31">
      <c r="A19" s="3"/>
      <c r="C19" s="47" t="str">
        <f>IF(B19&gt;0,(B19*$A$3),"")</f>
        <v/>
      </c>
      <c r="F19" s="1">
        <v>8</v>
      </c>
      <c r="G19" s="1" t="s">
        <v>8</v>
      </c>
      <c r="J19" s="32">
        <v>10.99</v>
      </c>
      <c r="K19" s="25">
        <v>9.5</v>
      </c>
      <c r="M19" s="25">
        <v>1.52</v>
      </c>
      <c r="N19" s="25">
        <v>3.7999999999999999E-2</v>
      </c>
      <c r="O19" s="33">
        <v>2.9000000000000001E-2</v>
      </c>
      <c r="P19" s="51">
        <f>J19*$A$3</f>
        <v>4.98497608</v>
      </c>
      <c r="Q19" s="51">
        <f t="shared" si="0"/>
        <v>9.5</v>
      </c>
      <c r="R19" s="51">
        <f>L19*$A$3</f>
        <v>0</v>
      </c>
      <c r="S19" s="51">
        <f>M19*$A$3</f>
        <v>0.68945984000000005</v>
      </c>
      <c r="T19" s="51">
        <f>N19*$A$3</f>
        <v>1.7236496E-2</v>
      </c>
      <c r="U19" s="51">
        <f>O19*$A$3</f>
        <v>1.3154168000000001E-2</v>
      </c>
      <c r="V19" s="32">
        <v>22.4</v>
      </c>
      <c r="W19" s="51">
        <f>V19*$A$3</f>
        <v>10.160460799999999</v>
      </c>
      <c r="X19" s="44">
        <v>49</v>
      </c>
      <c r="Y19" s="54">
        <v>0.42</v>
      </c>
      <c r="Z19" s="47">
        <f>IF(Y19&gt;0,(Y19*$A$3),"")</f>
        <v>0.19050863999999998</v>
      </c>
      <c r="AB19" s="47" t="str">
        <f>IF(AA19&gt;0,(AA19*$A$3),"")</f>
        <v/>
      </c>
      <c r="AC19" s="1">
        <v>6.8</v>
      </c>
      <c r="AD19" s="1">
        <v>0.17</v>
      </c>
      <c r="AE19" s="6">
        <v>0.13</v>
      </c>
    </row>
    <row r="20" spans="1:31">
      <c r="A20" s="3"/>
      <c r="C20" s="47" t="str">
        <f>IF(B20&gt;0,(B20*$A$3),"")</f>
        <v/>
      </c>
      <c r="F20" s="1">
        <v>9</v>
      </c>
      <c r="G20" s="1" t="s">
        <v>8</v>
      </c>
      <c r="J20" s="32">
        <v>11.26</v>
      </c>
      <c r="K20" s="25">
        <v>9.9</v>
      </c>
      <c r="M20" s="25">
        <v>1.58</v>
      </c>
      <c r="N20" s="25">
        <v>3.7999999999999999E-2</v>
      </c>
      <c r="O20" s="33">
        <v>2.9000000000000001E-2</v>
      </c>
      <c r="P20" s="51">
        <f>J20*$A$3</f>
        <v>5.10744592</v>
      </c>
      <c r="Q20" s="51">
        <f t="shared" si="0"/>
        <v>9.9</v>
      </c>
      <c r="R20" s="51">
        <f>L20*$A$3</f>
        <v>0</v>
      </c>
      <c r="S20" s="51">
        <f>M20*$A$3</f>
        <v>0.71667535999999998</v>
      </c>
      <c r="T20" s="51">
        <f>N20*$A$3</f>
        <v>1.7236496E-2</v>
      </c>
      <c r="U20" s="51">
        <f>O20*$A$3</f>
        <v>1.3154168000000001E-2</v>
      </c>
      <c r="V20" s="32">
        <v>22.5</v>
      </c>
      <c r="W20" s="51">
        <f>V20*$A$3</f>
        <v>10.205819999999999</v>
      </c>
      <c r="X20" s="44">
        <v>50</v>
      </c>
      <c r="Y20" s="54">
        <v>0.44</v>
      </c>
      <c r="Z20" s="47">
        <f>IF(Y20&gt;0,(Y20*$A$3),"")</f>
        <v>0.19958048</v>
      </c>
      <c r="AB20" s="47" t="str">
        <f>IF(AA20&gt;0,(AA20*$A$3),"")</f>
        <v/>
      </c>
      <c r="AC20" s="1">
        <v>7</v>
      </c>
      <c r="AD20" s="1">
        <v>0.17</v>
      </c>
      <c r="AE20" s="6">
        <v>0.13</v>
      </c>
    </row>
    <row r="21" spans="1:31">
      <c r="A21" s="3"/>
      <c r="C21" s="47" t="str">
        <f>IF(B21&gt;0,(B21*$A$3),"")</f>
        <v/>
      </c>
      <c r="F21" s="1">
        <v>10</v>
      </c>
      <c r="G21" s="1" t="s">
        <v>9</v>
      </c>
      <c r="J21" s="32">
        <v>11.8</v>
      </c>
      <c r="K21" s="25">
        <v>10.7</v>
      </c>
      <c r="M21" s="25">
        <v>1.68</v>
      </c>
      <c r="N21" s="25">
        <v>6.4000000000000001E-2</v>
      </c>
      <c r="O21" s="33">
        <v>0.04</v>
      </c>
      <c r="P21" s="51">
        <f>J21*$A$3</f>
        <v>5.3523855999999999</v>
      </c>
      <c r="Q21" s="51">
        <f t="shared" si="0"/>
        <v>10.7</v>
      </c>
      <c r="R21" s="51">
        <f>L21*$A$3</f>
        <v>0</v>
      </c>
      <c r="S21" s="51">
        <f>M21*$A$3</f>
        <v>0.76203455999999992</v>
      </c>
      <c r="T21" s="51">
        <f>N21*$A$3</f>
        <v>2.9029888E-2</v>
      </c>
      <c r="U21" s="51">
        <f>O21*$A$3</f>
        <v>1.8143679999999999E-2</v>
      </c>
      <c r="V21" s="32">
        <v>22.7</v>
      </c>
      <c r="W21" s="51">
        <f>V21*$A$3</f>
        <v>10.296538399999999</v>
      </c>
      <c r="X21" s="44">
        <v>52</v>
      </c>
      <c r="Y21" s="54">
        <v>0.47</v>
      </c>
      <c r="Z21" s="47">
        <f>IF(Y21&gt;0,(Y21*$A$3),"")</f>
        <v>0.21318823999999997</v>
      </c>
      <c r="AB21" s="47" t="str">
        <f>IF(AA21&gt;0,(AA21*$A$3),"")</f>
        <v/>
      </c>
      <c r="AC21" s="1">
        <v>7.4</v>
      </c>
      <c r="AD21" s="1">
        <v>0.28000000000000003</v>
      </c>
      <c r="AE21" s="6">
        <v>0.17</v>
      </c>
    </row>
    <row r="22" spans="1:31">
      <c r="A22" s="3"/>
      <c r="C22" s="47" t="str">
        <f>IF(B22&gt;0,(B22*$A$3),"")</f>
        <v/>
      </c>
      <c r="F22" s="1">
        <v>11</v>
      </c>
      <c r="G22" s="1" t="s">
        <v>9</v>
      </c>
      <c r="J22" s="32">
        <v>12.59</v>
      </c>
      <c r="K22" s="25">
        <v>11.8</v>
      </c>
      <c r="M22" s="25">
        <v>1.84</v>
      </c>
      <c r="N22" s="25">
        <v>6.4000000000000001E-2</v>
      </c>
      <c r="O22" s="33">
        <v>0.04</v>
      </c>
      <c r="P22" s="51">
        <f>J22*$A$3</f>
        <v>5.7107232799999998</v>
      </c>
      <c r="Q22" s="51">
        <f t="shared" si="0"/>
        <v>11.8</v>
      </c>
      <c r="R22" s="51">
        <f>L22*$A$3</f>
        <v>0</v>
      </c>
      <c r="S22" s="51">
        <f>M22*$A$3</f>
        <v>0.83460928000000001</v>
      </c>
      <c r="T22" s="51">
        <f>N22*$A$3</f>
        <v>2.9029888E-2</v>
      </c>
      <c r="U22" s="51">
        <f>O22*$A$3</f>
        <v>1.8143679999999999E-2</v>
      </c>
      <c r="V22" s="32">
        <v>23.1</v>
      </c>
      <c r="W22" s="51">
        <f>V22*$A$3</f>
        <v>10.477975200000001</v>
      </c>
      <c r="X22" s="44">
        <v>54.5</v>
      </c>
      <c r="Y22" s="54">
        <v>0.51</v>
      </c>
      <c r="Z22" s="47">
        <f>IF(Y22&gt;0,(Y22*$A$3),"")</f>
        <v>0.23133192</v>
      </c>
      <c r="AB22" s="47" t="str">
        <f>IF(AA22&gt;0,(AA22*$A$3),"")</f>
        <v/>
      </c>
      <c r="AC22" s="1">
        <v>8</v>
      </c>
      <c r="AD22" s="1">
        <v>0.27</v>
      </c>
      <c r="AE22" s="6">
        <v>0.17</v>
      </c>
    </row>
    <row r="23" spans="1:31">
      <c r="A23" s="13"/>
      <c r="B23" s="8"/>
      <c r="C23" s="47" t="str">
        <f>IF(B23&gt;0,(B23*$A$3),"")</f>
        <v/>
      </c>
      <c r="F23" s="8">
        <v>12</v>
      </c>
      <c r="G23" s="8" t="s">
        <v>9</v>
      </c>
      <c r="J23" s="34">
        <v>13.84</v>
      </c>
      <c r="K23" s="35">
        <v>13.5</v>
      </c>
      <c r="L23" s="35"/>
      <c r="M23" s="35">
        <v>2.11</v>
      </c>
      <c r="N23" s="35">
        <v>6.4000000000000001E-2</v>
      </c>
      <c r="O23" s="36">
        <v>0.04</v>
      </c>
      <c r="P23" s="51">
        <f>J23*$A$3</f>
        <v>6.2777132799999995</v>
      </c>
      <c r="Q23" s="51">
        <f t="shared" si="0"/>
        <v>13.5</v>
      </c>
      <c r="R23" s="51">
        <f>L23*$A$3</f>
        <v>0</v>
      </c>
      <c r="S23" s="51">
        <f>M23*$A$3</f>
        <v>0.95707911999999995</v>
      </c>
      <c r="T23" s="51">
        <f>N23*$A$3</f>
        <v>2.9029888E-2</v>
      </c>
      <c r="U23" s="51">
        <f>O23*$A$3</f>
        <v>1.8143679999999999E-2</v>
      </c>
      <c r="V23" s="34">
        <v>23.8</v>
      </c>
      <c r="W23" s="51">
        <f>V23*$A$3</f>
        <v>10.7954896</v>
      </c>
      <c r="X23" s="46">
        <v>58.1</v>
      </c>
      <c r="Y23" s="56">
        <v>0.56999999999999995</v>
      </c>
      <c r="Z23" s="47">
        <f>IF(Y23&gt;0,(Y23*$A$3),"")</f>
        <v>0.25854743999999996</v>
      </c>
      <c r="AB23" s="47" t="str">
        <f>IF(AA23&gt;0,(AA23*$A$3),"")</f>
        <v/>
      </c>
      <c r="AC23" s="8">
        <v>8.8000000000000007</v>
      </c>
      <c r="AD23" s="8">
        <v>0.27</v>
      </c>
      <c r="AE23" s="9">
        <v>0.17</v>
      </c>
    </row>
    <row r="24" spans="1:31">
      <c r="C24" s="47" t="str">
        <f>IF(B24&gt;0,(B24*$A$3),"")</f>
        <v/>
      </c>
      <c r="P24" s="51"/>
      <c r="Q24" s="51"/>
      <c r="R24" s="51"/>
      <c r="S24" s="51"/>
      <c r="T24" s="51"/>
      <c r="U24" s="51"/>
    </row>
    <row r="25" spans="1:31">
      <c r="A25" s="11"/>
      <c r="B25" s="10"/>
      <c r="C25" s="47" t="str">
        <f>IF(B25&gt;0,(B25*$A$3),"")</f>
        <v/>
      </c>
      <c r="F25" s="10"/>
      <c r="G25" s="10"/>
      <c r="J25" s="26" t="s">
        <v>10</v>
      </c>
      <c r="K25" s="27"/>
      <c r="L25" s="27"/>
      <c r="M25" s="27"/>
      <c r="N25" s="27"/>
      <c r="O25" s="28"/>
      <c r="P25" s="51"/>
      <c r="Q25" s="51"/>
      <c r="R25" s="51"/>
      <c r="S25" s="51"/>
      <c r="T25" s="51"/>
      <c r="U25" s="51"/>
      <c r="V25" s="20" t="s">
        <v>21</v>
      </c>
      <c r="W25" s="21"/>
      <c r="X25" s="21"/>
      <c r="Y25" s="21"/>
      <c r="Z25" s="21"/>
      <c r="AA25" s="21"/>
      <c r="AB25" s="21"/>
      <c r="AC25" s="21"/>
      <c r="AD25" s="21"/>
      <c r="AE25" s="22"/>
    </row>
    <row r="26" spans="1:31" ht="26">
      <c r="A26" s="12" t="s">
        <v>22</v>
      </c>
      <c r="B26" s="2" t="s">
        <v>3</v>
      </c>
      <c r="C26" s="47" t="s">
        <v>132</v>
      </c>
      <c r="F26" s="2" t="s">
        <v>4</v>
      </c>
      <c r="G26" s="2" t="s">
        <v>5</v>
      </c>
      <c r="J26" s="29" t="s">
        <v>11</v>
      </c>
      <c r="K26" s="30" t="s">
        <v>23</v>
      </c>
      <c r="L26" s="30" t="s">
        <v>24</v>
      </c>
      <c r="M26" s="30" t="s">
        <v>12</v>
      </c>
      <c r="N26" s="30" t="s">
        <v>13</v>
      </c>
      <c r="O26" s="31" t="s">
        <v>14</v>
      </c>
      <c r="P26" s="48" t="s">
        <v>130</v>
      </c>
      <c r="Q26" s="49" t="s">
        <v>23</v>
      </c>
      <c r="R26" s="49" t="s">
        <v>129</v>
      </c>
      <c r="S26" s="49" t="s">
        <v>117</v>
      </c>
      <c r="T26" s="49" t="s">
        <v>118</v>
      </c>
      <c r="U26" s="50" t="s">
        <v>119</v>
      </c>
      <c r="V26" s="29" t="s">
        <v>15</v>
      </c>
      <c r="W26" s="48" t="s">
        <v>120</v>
      </c>
      <c r="X26" s="45" t="s">
        <v>16</v>
      </c>
      <c r="Y26" s="55" t="s">
        <v>17</v>
      </c>
      <c r="Z26" s="49" t="s">
        <v>126</v>
      </c>
      <c r="AA26" s="2" t="s">
        <v>24</v>
      </c>
      <c r="AB26" s="49" t="s">
        <v>127</v>
      </c>
      <c r="AC26" s="2" t="s">
        <v>18</v>
      </c>
      <c r="AD26" s="2" t="s">
        <v>19</v>
      </c>
      <c r="AE26" s="4" t="s">
        <v>20</v>
      </c>
    </row>
    <row r="27" spans="1:31">
      <c r="A27" s="3"/>
      <c r="B27" s="1">
        <v>1020</v>
      </c>
      <c r="C27" s="47">
        <f>IF(B27&gt;0,(B27*$A$3),"")</f>
        <v>462.66383999999999</v>
      </c>
      <c r="F27" s="1">
        <v>1</v>
      </c>
      <c r="G27" s="1" t="s">
        <v>6</v>
      </c>
      <c r="J27" s="32">
        <v>14.94</v>
      </c>
      <c r="K27" s="25">
        <v>14.8</v>
      </c>
      <c r="L27" s="25">
        <v>0.3</v>
      </c>
      <c r="M27" s="25">
        <v>2.25</v>
      </c>
      <c r="N27" s="25">
        <v>6.0999999999999999E-2</v>
      </c>
      <c r="O27" s="33">
        <v>0.04</v>
      </c>
      <c r="P27" s="51">
        <f>J27*$A$3</f>
        <v>6.77666448</v>
      </c>
      <c r="Q27" s="51">
        <f t="shared" ref="Q27:Q90" si="1">K27</f>
        <v>14.8</v>
      </c>
      <c r="R27" s="51">
        <f>L27*$A$3</f>
        <v>0.13607759999999999</v>
      </c>
      <c r="S27" s="51">
        <f>M27*$A$3</f>
        <v>1.0205820000000001</v>
      </c>
      <c r="T27" s="51">
        <f>N27*$A$3</f>
        <v>2.7669111999999999E-2</v>
      </c>
      <c r="U27" s="51">
        <f>O27*$A$3</f>
        <v>1.8143679999999999E-2</v>
      </c>
      <c r="V27" s="32">
        <v>23.3</v>
      </c>
      <c r="W27" s="51">
        <f>V27*$A$3</f>
        <v>10.5686936</v>
      </c>
      <c r="X27" s="44">
        <v>64</v>
      </c>
      <c r="Y27" s="54">
        <v>0.66</v>
      </c>
      <c r="Z27" s="47">
        <f>IF(Y27&gt;0,(Y27*$A$3),"")</f>
        <v>0.29937072000000003</v>
      </c>
      <c r="AA27" s="1">
        <v>0.39</v>
      </c>
      <c r="AB27" s="47">
        <f>IF(AA27&gt;0,(AA27*$A$3),"")</f>
        <v>0.17690088000000001</v>
      </c>
      <c r="AC27" s="1">
        <v>9.6999999999999993</v>
      </c>
      <c r="AD27" s="1">
        <v>0.26</v>
      </c>
      <c r="AE27" s="6">
        <v>0.17</v>
      </c>
    </row>
    <row r="28" spans="1:31">
      <c r="A28" s="3"/>
      <c r="C28" s="47" t="str">
        <f>IF(B28&gt;0,(B28*$A$3),"")</f>
        <v/>
      </c>
      <c r="F28" s="1">
        <v>2</v>
      </c>
      <c r="G28" s="1" t="s">
        <v>6</v>
      </c>
      <c r="J28" s="32">
        <v>15.62</v>
      </c>
      <c r="K28" s="25">
        <v>15.6</v>
      </c>
      <c r="L28" s="25">
        <v>0.3</v>
      </c>
      <c r="M28" s="25">
        <v>2.46</v>
      </c>
      <c r="N28" s="25">
        <v>6.7000000000000004E-2</v>
      </c>
      <c r="O28" s="33">
        <v>4.2999999999999997E-2</v>
      </c>
      <c r="P28" s="51">
        <f>J28*$A$3</f>
        <v>7.0851070399999996</v>
      </c>
      <c r="Q28" s="51">
        <f t="shared" si="1"/>
        <v>15.6</v>
      </c>
      <c r="R28" s="51">
        <f>L28*$A$3</f>
        <v>0.13607759999999999</v>
      </c>
      <c r="S28" s="51">
        <f>M28*$A$3</f>
        <v>1.1158363199999999</v>
      </c>
      <c r="T28" s="51">
        <f>N28*$A$3</f>
        <v>3.0390664000000001E-2</v>
      </c>
      <c r="U28" s="51">
        <f>O28*$A$3</f>
        <v>1.9504456E-2</v>
      </c>
      <c r="V28" s="32">
        <v>24.1</v>
      </c>
      <c r="W28" s="51">
        <f>V28*$A$3</f>
        <v>10.9315672</v>
      </c>
      <c r="X28" s="44">
        <v>64.900000000000006</v>
      </c>
      <c r="Y28" s="54">
        <v>0.67</v>
      </c>
      <c r="Z28" s="47">
        <f>IF(Y28&gt;0,(Y28*$A$3),"")</f>
        <v>0.30390664000000001</v>
      </c>
      <c r="AA28" s="1">
        <v>0.39</v>
      </c>
      <c r="AB28" s="47">
        <f>IF(AA28&gt;0,(AA28*$A$3),"")</f>
        <v>0.17690088000000001</v>
      </c>
      <c r="AC28" s="1">
        <v>10.199999999999999</v>
      </c>
      <c r="AD28" s="1">
        <v>0.28000000000000003</v>
      </c>
      <c r="AE28" s="6">
        <v>0.18</v>
      </c>
    </row>
    <row r="29" spans="1:31">
      <c r="A29" s="3"/>
      <c r="C29" s="47" t="str">
        <f>IF(B29&gt;0,(B29*$A$3),"")</f>
        <v/>
      </c>
      <c r="F29" s="1">
        <v>3</v>
      </c>
      <c r="G29" s="1" t="s">
        <v>6</v>
      </c>
      <c r="J29" s="32">
        <v>15.39</v>
      </c>
      <c r="K29" s="25">
        <v>15.3</v>
      </c>
      <c r="L29" s="25">
        <v>0.3</v>
      </c>
      <c r="M29" s="25">
        <v>2.35</v>
      </c>
      <c r="N29" s="25">
        <v>6.4000000000000001E-2</v>
      </c>
      <c r="O29" s="33">
        <v>4.1000000000000002E-2</v>
      </c>
      <c r="P29" s="51">
        <f>J29*$A$3</f>
        <v>6.9807808800000002</v>
      </c>
      <c r="Q29" s="51">
        <f t="shared" si="1"/>
        <v>15.3</v>
      </c>
      <c r="R29" s="51">
        <f>L29*$A$3</f>
        <v>0.13607759999999999</v>
      </c>
      <c r="S29" s="51">
        <f>M29*$A$3</f>
        <v>1.0659411999999999</v>
      </c>
      <c r="T29" s="51">
        <f>N29*$A$3</f>
        <v>2.9029888E-2</v>
      </c>
      <c r="U29" s="51">
        <f>O29*$A$3</f>
        <v>1.8597272000000001E-2</v>
      </c>
      <c r="V29" s="32">
        <v>23.8</v>
      </c>
      <c r="W29" s="51">
        <f>V29*$A$3</f>
        <v>10.7954896</v>
      </c>
      <c r="X29" s="44">
        <v>64.599999999999994</v>
      </c>
      <c r="Y29" s="54">
        <v>0.66</v>
      </c>
      <c r="Z29" s="47">
        <f>IF(Y29&gt;0,(Y29*$A$3),"")</f>
        <v>0.29937072000000003</v>
      </c>
      <c r="AA29" s="1">
        <v>0.39</v>
      </c>
      <c r="AB29" s="47">
        <f>IF(AA29&gt;0,(AA29*$A$3),"")</f>
        <v>0.17690088000000001</v>
      </c>
      <c r="AC29" s="1">
        <v>9.9</v>
      </c>
      <c r="AD29" s="1">
        <v>0.27</v>
      </c>
      <c r="AE29" s="6">
        <v>0.17</v>
      </c>
    </row>
    <row r="30" spans="1:31">
      <c r="A30" s="3"/>
      <c r="C30" s="47" t="str">
        <f>IF(B30&gt;0,(B30*$A$3),"")</f>
        <v/>
      </c>
      <c r="F30" s="1">
        <v>4</v>
      </c>
      <c r="G30" s="1" t="s">
        <v>7</v>
      </c>
      <c r="J30" s="32">
        <v>14.72</v>
      </c>
      <c r="K30" s="25">
        <v>14.5</v>
      </c>
      <c r="L30" s="25">
        <v>0.3</v>
      </c>
      <c r="M30" s="25">
        <v>2.16</v>
      </c>
      <c r="N30" s="25">
        <v>5.8000000000000003E-2</v>
      </c>
      <c r="O30" s="33">
        <v>3.7999999999999999E-2</v>
      </c>
      <c r="P30" s="51">
        <f>J30*$A$3</f>
        <v>6.6768742400000001</v>
      </c>
      <c r="Q30" s="51">
        <f t="shared" si="1"/>
        <v>14.5</v>
      </c>
      <c r="R30" s="51">
        <f>L30*$A$3</f>
        <v>0.13607759999999999</v>
      </c>
      <c r="S30" s="51">
        <f>M30*$A$3</f>
        <v>0.97975872000000008</v>
      </c>
      <c r="T30" s="51">
        <f>N30*$A$3</f>
        <v>2.6308336000000002E-2</v>
      </c>
      <c r="U30" s="51">
        <f>O30*$A$3</f>
        <v>1.7236496E-2</v>
      </c>
      <c r="V30" s="32">
        <v>23.2</v>
      </c>
      <c r="W30" s="51">
        <f>V30*$A$3</f>
        <v>10.5233344</v>
      </c>
      <c r="X30" s="44">
        <v>63.5</v>
      </c>
      <c r="Y30" s="54">
        <v>0.65</v>
      </c>
      <c r="Z30" s="47">
        <f>IF(Y30&gt;0,(Y30*$A$3),"")</f>
        <v>0.29483480000000001</v>
      </c>
      <c r="AA30" s="1">
        <v>0.39</v>
      </c>
      <c r="AB30" s="47">
        <f>IF(AA30&gt;0,(AA30*$A$3),"")</f>
        <v>0.17690088000000001</v>
      </c>
      <c r="AC30" s="1">
        <v>9.3000000000000007</v>
      </c>
      <c r="AD30" s="1">
        <v>0.25</v>
      </c>
      <c r="AE30" s="6">
        <v>0.16</v>
      </c>
    </row>
    <row r="31" spans="1:31">
      <c r="A31" s="3"/>
      <c r="C31" s="47" t="str">
        <f>IF(B31&gt;0,(B31*$A$3),"")</f>
        <v/>
      </c>
      <c r="F31" s="1">
        <v>5</v>
      </c>
      <c r="G31" s="1" t="s">
        <v>7</v>
      </c>
      <c r="J31" s="32">
        <v>14.14</v>
      </c>
      <c r="K31" s="25">
        <v>13.8</v>
      </c>
      <c r="L31" s="25">
        <v>0.3</v>
      </c>
      <c r="M31" s="25">
        <v>1.96</v>
      </c>
      <c r="N31" s="25">
        <v>5.1999999999999998E-2</v>
      </c>
      <c r="O31" s="33">
        <v>3.5000000000000003E-2</v>
      </c>
      <c r="P31" s="51">
        <f>J31*$A$3</f>
        <v>6.4137908800000005</v>
      </c>
      <c r="Q31" s="51">
        <f t="shared" si="1"/>
        <v>13.8</v>
      </c>
      <c r="R31" s="51">
        <f>L31*$A$3</f>
        <v>0.13607759999999999</v>
      </c>
      <c r="S31" s="51">
        <f>M31*$A$3</f>
        <v>0.88904032</v>
      </c>
      <c r="T31" s="51">
        <f>N31*$A$3</f>
        <v>2.3586784E-2</v>
      </c>
      <c r="U31" s="51">
        <f>O31*$A$3</f>
        <v>1.5875720000000003E-2</v>
      </c>
      <c r="V31" s="32">
        <v>22.6</v>
      </c>
      <c r="W31" s="51">
        <f>V31*$A$3</f>
        <v>10.251179200000001</v>
      </c>
      <c r="X31" s="44">
        <v>62.6</v>
      </c>
      <c r="Y31" s="54">
        <v>0.63</v>
      </c>
      <c r="Z31" s="47">
        <f>IF(Y31&gt;0,(Y31*$A$3),"")</f>
        <v>0.28576296000000001</v>
      </c>
      <c r="AA31" s="1">
        <v>0.39</v>
      </c>
      <c r="AB31" s="47">
        <f>IF(AA31&gt;0,(AA31*$A$3),"")</f>
        <v>0.17690088000000001</v>
      </c>
      <c r="AC31" s="1">
        <v>8.6999999999999993</v>
      </c>
      <c r="AD31" s="1">
        <v>0.23</v>
      </c>
      <c r="AE31" s="6">
        <v>0.15</v>
      </c>
    </row>
    <row r="32" spans="1:31">
      <c r="A32" s="3"/>
      <c r="C32" s="47" t="str">
        <f>IF(B32&gt;0,(B32*$A$3),"")</f>
        <v/>
      </c>
      <c r="F32" s="1">
        <v>6</v>
      </c>
      <c r="G32" s="1" t="s">
        <v>7</v>
      </c>
      <c r="J32" s="32">
        <v>13.71</v>
      </c>
      <c r="K32" s="25">
        <v>13.3</v>
      </c>
      <c r="L32" s="25">
        <v>0.3</v>
      </c>
      <c r="M32" s="25">
        <v>1.79</v>
      </c>
      <c r="N32" s="25">
        <v>4.7E-2</v>
      </c>
      <c r="O32" s="33">
        <v>3.2000000000000001E-2</v>
      </c>
      <c r="P32" s="51">
        <f>J32*$A$3</f>
        <v>6.2187463200000002</v>
      </c>
      <c r="Q32" s="51">
        <f t="shared" si="1"/>
        <v>13.3</v>
      </c>
      <c r="R32" s="51">
        <f>L32*$A$3</f>
        <v>0.13607759999999999</v>
      </c>
      <c r="S32" s="51">
        <f>M32*$A$3</f>
        <v>0.81192967999999999</v>
      </c>
      <c r="T32" s="51">
        <f>N32*$A$3</f>
        <v>2.1318824E-2</v>
      </c>
      <c r="U32" s="51">
        <f>O32*$A$3</f>
        <v>1.4514944E-2</v>
      </c>
      <c r="V32" s="32">
        <v>22.1</v>
      </c>
      <c r="W32" s="51">
        <f>V32*$A$3</f>
        <v>10.024383200000001</v>
      </c>
      <c r="X32" s="44">
        <v>62</v>
      </c>
      <c r="Y32" s="54">
        <v>0.63</v>
      </c>
      <c r="Z32" s="47">
        <f>IF(Y32&gt;0,(Y32*$A$3),"")</f>
        <v>0.28576296000000001</v>
      </c>
      <c r="AA32" s="1">
        <v>0.39</v>
      </c>
      <c r="AB32" s="47">
        <f>IF(AA32&gt;0,(AA32*$A$3),"")</f>
        <v>0.17690088000000001</v>
      </c>
      <c r="AC32" s="1">
        <v>8.1</v>
      </c>
      <c r="AD32" s="1">
        <v>0.21</v>
      </c>
      <c r="AE32" s="6">
        <v>0.14000000000000001</v>
      </c>
    </row>
    <row r="33" spans="1:31">
      <c r="A33" s="3"/>
      <c r="C33" s="47" t="str">
        <f>IF(B33&gt;0,(B33*$A$3),"")</f>
        <v/>
      </c>
      <c r="F33" s="1">
        <v>7</v>
      </c>
      <c r="G33" s="1" t="s">
        <v>8</v>
      </c>
      <c r="J33" s="32">
        <v>13.38</v>
      </c>
      <c r="K33" s="25">
        <v>12.9</v>
      </c>
      <c r="L33" s="25">
        <v>0.3</v>
      </c>
      <c r="M33" s="25">
        <v>1.67</v>
      </c>
      <c r="N33" s="25">
        <v>4.2999999999999997E-2</v>
      </c>
      <c r="O33" s="33">
        <v>0.03</v>
      </c>
      <c r="P33" s="51">
        <f>J33*$A$3</f>
        <v>6.0690609600000007</v>
      </c>
      <c r="Q33" s="51">
        <f t="shared" si="1"/>
        <v>12.9</v>
      </c>
      <c r="R33" s="51">
        <f>L33*$A$3</f>
        <v>0.13607759999999999</v>
      </c>
      <c r="S33" s="51">
        <f>M33*$A$3</f>
        <v>0.75749864</v>
      </c>
      <c r="T33" s="51">
        <f>N33*$A$3</f>
        <v>1.9504456E-2</v>
      </c>
      <c r="U33" s="51">
        <f>O33*$A$3</f>
        <v>1.360776E-2</v>
      </c>
      <c r="V33" s="32">
        <v>21.8</v>
      </c>
      <c r="W33" s="51">
        <f>V33*$A$3</f>
        <v>9.8883056000000007</v>
      </c>
      <c r="X33" s="44">
        <v>61.4</v>
      </c>
      <c r="Y33" s="54">
        <v>0.62</v>
      </c>
      <c r="Z33" s="47">
        <f>IF(Y33&gt;0,(Y33*$A$3),"")</f>
        <v>0.28122703999999998</v>
      </c>
      <c r="AA33" s="1">
        <v>0.39</v>
      </c>
      <c r="AB33" s="47">
        <f>IF(AA33&gt;0,(AA33*$A$3),"")</f>
        <v>0.17690088000000001</v>
      </c>
      <c r="AC33" s="1">
        <v>7.7</v>
      </c>
      <c r="AD33" s="1">
        <v>0.2</v>
      </c>
      <c r="AE33" s="6">
        <v>0.14000000000000001</v>
      </c>
    </row>
    <row r="34" spans="1:31">
      <c r="A34" s="3"/>
      <c r="C34" s="47" t="str">
        <f>IF(B34&gt;0,(B34*$A$3),"")</f>
        <v/>
      </c>
      <c r="F34" s="1">
        <v>8</v>
      </c>
      <c r="G34" s="1" t="s">
        <v>8</v>
      </c>
      <c r="J34" s="32">
        <v>9.85</v>
      </c>
      <c r="K34" s="25">
        <v>8.1</v>
      </c>
      <c r="L34" s="25">
        <v>0.3</v>
      </c>
      <c r="M34" s="25">
        <v>1.38</v>
      </c>
      <c r="N34" s="25">
        <v>3.4000000000000002E-2</v>
      </c>
      <c r="O34" s="33">
        <v>2.5000000000000001E-2</v>
      </c>
      <c r="P34" s="51">
        <f>J34*$A$3</f>
        <v>4.4678811999999999</v>
      </c>
      <c r="Q34" s="51">
        <f t="shared" si="1"/>
        <v>8.1</v>
      </c>
      <c r="R34" s="51">
        <f>L34*$A$3</f>
        <v>0.13607759999999999</v>
      </c>
      <c r="S34" s="51">
        <f>M34*$A$3</f>
        <v>0.6259569599999999</v>
      </c>
      <c r="T34" s="51">
        <f>N34*$A$3</f>
        <v>1.5422128E-2</v>
      </c>
      <c r="U34" s="51">
        <f>O34*$A$3</f>
        <v>1.1339800000000001E-2</v>
      </c>
      <c r="V34" s="32">
        <v>19.399999999999999</v>
      </c>
      <c r="W34" s="51">
        <f>V34*$A$3</f>
        <v>8.7996847999999996</v>
      </c>
      <c r="X34" s="44">
        <v>50.8</v>
      </c>
      <c r="Y34" s="54">
        <v>0.45</v>
      </c>
      <c r="Z34" s="47">
        <f>IF(Y34&gt;0,(Y34*$A$3),"")</f>
        <v>0.2041164</v>
      </c>
      <c r="AA34" s="1">
        <v>0.39</v>
      </c>
      <c r="AB34" s="47">
        <f>IF(AA34&gt;0,(AA34*$A$3),"")</f>
        <v>0.17690088000000001</v>
      </c>
      <c r="AC34" s="1">
        <v>7.1</v>
      </c>
      <c r="AD34" s="1">
        <v>0.17</v>
      </c>
      <c r="AE34" s="6">
        <v>0.13</v>
      </c>
    </row>
    <row r="35" spans="1:31">
      <c r="A35" s="3"/>
      <c r="C35" s="47" t="str">
        <f>IF(B35&gt;0,(B35*$A$3),"")</f>
        <v/>
      </c>
      <c r="F35" s="1">
        <v>9</v>
      </c>
      <c r="G35" s="1" t="s">
        <v>8</v>
      </c>
      <c r="J35" s="32">
        <v>10.11</v>
      </c>
      <c r="K35" s="25">
        <v>8.5</v>
      </c>
      <c r="L35" s="25">
        <v>0.3</v>
      </c>
      <c r="M35" s="25">
        <v>1.43</v>
      </c>
      <c r="N35" s="25">
        <v>3.4000000000000002E-2</v>
      </c>
      <c r="O35" s="33">
        <v>2.5000000000000001E-2</v>
      </c>
      <c r="P35" s="51">
        <f>J35*$A$3</f>
        <v>4.5858151199999995</v>
      </c>
      <c r="Q35" s="51">
        <f t="shared" si="1"/>
        <v>8.5</v>
      </c>
      <c r="R35" s="51">
        <f>L35*$A$3</f>
        <v>0.13607759999999999</v>
      </c>
      <c r="S35" s="51">
        <f>M35*$A$3</f>
        <v>0.64863655999999992</v>
      </c>
      <c r="T35" s="51">
        <f>N35*$A$3</f>
        <v>1.5422128E-2</v>
      </c>
      <c r="U35" s="51">
        <f>O35*$A$3</f>
        <v>1.1339800000000001E-2</v>
      </c>
      <c r="V35" s="32">
        <v>19.5</v>
      </c>
      <c r="W35" s="51">
        <f>V35*$A$3</f>
        <v>8.8450439999999997</v>
      </c>
      <c r="X35" s="44">
        <v>51.7</v>
      </c>
      <c r="Y35" s="54">
        <v>0.47</v>
      </c>
      <c r="Z35" s="47">
        <f>IF(Y35&gt;0,(Y35*$A$3),"")</f>
        <v>0.21318823999999997</v>
      </c>
      <c r="AA35" s="1">
        <v>0.39</v>
      </c>
      <c r="AB35" s="47">
        <f>IF(AA35&gt;0,(AA35*$A$3),"")</f>
        <v>0.17690088000000001</v>
      </c>
      <c r="AC35" s="1">
        <v>7.3</v>
      </c>
      <c r="AD35" s="1">
        <v>0.17</v>
      </c>
      <c r="AE35" s="6">
        <v>0.13</v>
      </c>
    </row>
    <row r="36" spans="1:31">
      <c r="A36" s="3"/>
      <c r="C36" s="47" t="str">
        <f>IF(B36&gt;0,(B36*$A$3),"")</f>
        <v/>
      </c>
      <c r="F36" s="1">
        <v>10</v>
      </c>
      <c r="G36" s="1" t="s">
        <v>9</v>
      </c>
      <c r="J36" s="32">
        <v>10.58</v>
      </c>
      <c r="K36" s="25">
        <v>9.1999999999999993</v>
      </c>
      <c r="L36" s="25">
        <v>0.3</v>
      </c>
      <c r="M36" s="25">
        <v>1.52</v>
      </c>
      <c r="N36" s="25">
        <v>5.5E-2</v>
      </c>
      <c r="O36" s="33">
        <v>3.3000000000000002E-2</v>
      </c>
      <c r="P36" s="51">
        <f>J36*$A$3</f>
        <v>4.7990033600000004</v>
      </c>
      <c r="Q36" s="51">
        <f t="shared" si="1"/>
        <v>9.1999999999999993</v>
      </c>
      <c r="R36" s="51">
        <f>L36*$A$3</f>
        <v>0.13607759999999999</v>
      </c>
      <c r="S36" s="51">
        <f>M36*$A$3</f>
        <v>0.68945984000000005</v>
      </c>
      <c r="T36" s="51">
        <f>N36*$A$3</f>
        <v>2.4947560000000001E-2</v>
      </c>
      <c r="U36" s="51">
        <f>O36*$A$3</f>
        <v>1.4968536000000001E-2</v>
      </c>
      <c r="V36" s="32">
        <v>19.8</v>
      </c>
      <c r="W36" s="51">
        <f>V36*$A$3</f>
        <v>8.9811215999999998</v>
      </c>
      <c r="X36" s="44">
        <v>53.4</v>
      </c>
      <c r="Y36" s="54">
        <v>0.49</v>
      </c>
      <c r="Z36" s="47">
        <f>IF(Y36&gt;0,(Y36*$A$3),"")</f>
        <v>0.22226008</v>
      </c>
      <c r="AA36" s="1">
        <v>0.39</v>
      </c>
      <c r="AB36" s="47">
        <f>IF(AA36&gt;0,(AA36*$A$3),"")</f>
        <v>0.17690088000000001</v>
      </c>
      <c r="AC36" s="1">
        <v>7.7</v>
      </c>
      <c r="AD36" s="1">
        <v>0.28000000000000003</v>
      </c>
      <c r="AE36" s="6">
        <v>0.17</v>
      </c>
    </row>
    <row r="37" spans="1:31">
      <c r="A37" s="3"/>
      <c r="C37" s="47" t="str">
        <f>IF(B37&gt;0,(B37*$A$3),"")</f>
        <v/>
      </c>
      <c r="F37" s="1">
        <v>11</v>
      </c>
      <c r="G37" s="1" t="s">
        <v>9</v>
      </c>
      <c r="J37" s="32">
        <v>11.28</v>
      </c>
      <c r="K37" s="25">
        <v>10.199999999999999</v>
      </c>
      <c r="L37" s="25">
        <v>0.3</v>
      </c>
      <c r="M37" s="25">
        <v>1.66</v>
      </c>
      <c r="N37" s="25">
        <v>5.5E-2</v>
      </c>
      <c r="O37" s="33">
        <v>3.3000000000000002E-2</v>
      </c>
      <c r="P37" s="51">
        <f>J37*$A$3</f>
        <v>5.1165177599999998</v>
      </c>
      <c r="Q37" s="51">
        <f t="shared" si="1"/>
        <v>10.199999999999999</v>
      </c>
      <c r="R37" s="51">
        <f>L37*$A$3</f>
        <v>0.13607759999999999</v>
      </c>
      <c r="S37" s="51">
        <f>M37*$A$3</f>
        <v>0.75296271999999997</v>
      </c>
      <c r="T37" s="51">
        <f>N37*$A$3</f>
        <v>2.4947560000000001E-2</v>
      </c>
      <c r="U37" s="51">
        <f>O37*$A$3</f>
        <v>1.4968536000000001E-2</v>
      </c>
      <c r="V37" s="32">
        <v>20.2</v>
      </c>
      <c r="W37" s="51">
        <f>V37*$A$3</f>
        <v>9.1625584</v>
      </c>
      <c r="X37" s="44">
        <v>55.8</v>
      </c>
      <c r="Y37" s="54">
        <v>0.53</v>
      </c>
      <c r="Z37" s="47">
        <f>IF(Y37&gt;0,(Y37*$A$3),"")</f>
        <v>0.24040376000000002</v>
      </c>
      <c r="AA37" s="1">
        <v>0.39</v>
      </c>
      <c r="AB37" s="47">
        <f>IF(AA37&gt;0,(AA37*$A$3),"")</f>
        <v>0.17690088000000001</v>
      </c>
      <c r="AC37" s="1">
        <v>8.1999999999999993</v>
      </c>
      <c r="AD37" s="1">
        <v>0.27</v>
      </c>
      <c r="AE37" s="6">
        <v>0.16</v>
      </c>
    </row>
    <row r="38" spans="1:31">
      <c r="A38" s="13"/>
      <c r="B38" s="8"/>
      <c r="C38" s="47" t="str">
        <f>IF(B38&gt;0,(B38*$A$3),"")</f>
        <v/>
      </c>
      <c r="F38" s="8">
        <v>12</v>
      </c>
      <c r="G38" s="8" t="s">
        <v>9</v>
      </c>
      <c r="J38" s="34">
        <v>12.27</v>
      </c>
      <c r="K38" s="35">
        <v>11.6</v>
      </c>
      <c r="L38" s="35">
        <v>0.3</v>
      </c>
      <c r="M38" s="35">
        <v>1.88</v>
      </c>
      <c r="N38" s="35">
        <v>5.5E-2</v>
      </c>
      <c r="O38" s="36">
        <v>3.3000000000000002E-2</v>
      </c>
      <c r="P38" s="51">
        <f>J38*$A$3</f>
        <v>5.5655738399999999</v>
      </c>
      <c r="Q38" s="51">
        <f t="shared" si="1"/>
        <v>11.6</v>
      </c>
      <c r="R38" s="51">
        <f>L38*$A$3</f>
        <v>0.13607759999999999</v>
      </c>
      <c r="S38" s="51">
        <f>M38*$A$3</f>
        <v>0.85275295999999989</v>
      </c>
      <c r="T38" s="51">
        <f>N38*$A$3</f>
        <v>2.4947560000000001E-2</v>
      </c>
      <c r="U38" s="51">
        <f>O38*$A$3</f>
        <v>1.4968536000000001E-2</v>
      </c>
      <c r="V38" s="34">
        <v>20.9</v>
      </c>
      <c r="W38" s="51">
        <f>V38*$A$3</f>
        <v>9.4800727999999985</v>
      </c>
      <c r="X38" s="46">
        <v>58.8</v>
      </c>
      <c r="Y38" s="56">
        <v>0.57999999999999996</v>
      </c>
      <c r="Z38" s="47">
        <f>IF(Y38&gt;0,(Y38*$A$3),"")</f>
        <v>0.26308335999999999</v>
      </c>
      <c r="AA38" s="8">
        <v>0.39</v>
      </c>
      <c r="AB38" s="47">
        <f>IF(AA38&gt;0,(AA38*$A$3),"")</f>
        <v>0.17690088000000001</v>
      </c>
      <c r="AC38" s="8">
        <v>9</v>
      </c>
      <c r="AD38" s="8">
        <v>0.26</v>
      </c>
      <c r="AE38" s="9">
        <v>0.16</v>
      </c>
    </row>
    <row r="39" spans="1:31">
      <c r="C39" s="47" t="str">
        <f>IF(B39&gt;0,(B39*$A$3),"")</f>
        <v/>
      </c>
      <c r="P39" s="51">
        <f>J39*$A$3</f>
        <v>0</v>
      </c>
      <c r="Q39" s="51">
        <f t="shared" si="1"/>
        <v>0</v>
      </c>
      <c r="R39" s="51">
        <f>L39*$A$3</f>
        <v>0</v>
      </c>
      <c r="S39" s="51">
        <f>M39*$A$3</f>
        <v>0</v>
      </c>
      <c r="T39" s="51">
        <f>N39*$A$3</f>
        <v>0</v>
      </c>
      <c r="U39" s="51">
        <f>O39*$A$3</f>
        <v>0</v>
      </c>
    </row>
    <row r="40" spans="1:31">
      <c r="A40" s="11"/>
      <c r="B40" s="10"/>
      <c r="C40" s="47" t="str">
        <f>IF(B40&gt;0,(B40*$A$3),"")</f>
        <v/>
      </c>
      <c r="F40" s="10"/>
      <c r="G40" s="10"/>
      <c r="H40" s="10"/>
      <c r="I40" s="57"/>
      <c r="J40" s="26" t="s">
        <v>10</v>
      </c>
      <c r="K40" s="27"/>
      <c r="L40" s="27"/>
      <c r="M40" s="27"/>
      <c r="N40" s="27"/>
      <c r="O40" s="28"/>
      <c r="P40" s="51" t="e">
        <f>J40*$A$3</f>
        <v>#VALUE!</v>
      </c>
      <c r="Q40" s="51">
        <f t="shared" si="1"/>
        <v>0</v>
      </c>
      <c r="R40" s="51">
        <f>L40*$A$3</f>
        <v>0</v>
      </c>
      <c r="S40" s="51">
        <f>M40*$A$3</f>
        <v>0</v>
      </c>
      <c r="T40" s="51">
        <f>N40*$A$3</f>
        <v>0</v>
      </c>
      <c r="U40" s="51">
        <f>O40*$A$3</f>
        <v>0</v>
      </c>
      <c r="V40" s="20" t="s">
        <v>21</v>
      </c>
      <c r="W40" s="21"/>
      <c r="X40" s="21"/>
      <c r="Y40" s="21"/>
      <c r="Z40" s="21"/>
      <c r="AA40" s="21"/>
      <c r="AB40" s="21"/>
      <c r="AC40" s="21"/>
      <c r="AD40" s="21"/>
      <c r="AE40" s="22"/>
    </row>
    <row r="41" spans="1:31" ht="26">
      <c r="A41" s="12" t="s">
        <v>25</v>
      </c>
      <c r="B41" s="2" t="s">
        <v>27</v>
      </c>
      <c r="C41" s="47" t="s">
        <v>132</v>
      </c>
      <c r="F41" s="2" t="s">
        <v>26</v>
      </c>
      <c r="G41" s="2"/>
      <c r="H41" s="2" t="s">
        <v>28</v>
      </c>
      <c r="I41" s="45" t="s">
        <v>131</v>
      </c>
      <c r="J41" s="29" t="s">
        <v>11</v>
      </c>
      <c r="K41" s="30" t="s">
        <v>23</v>
      </c>
      <c r="L41" s="30" t="s">
        <v>24</v>
      </c>
      <c r="M41" s="30" t="s">
        <v>12</v>
      </c>
      <c r="N41" s="30" t="s">
        <v>13</v>
      </c>
      <c r="O41" s="31" t="s">
        <v>14</v>
      </c>
      <c r="P41" s="48" t="s">
        <v>130</v>
      </c>
      <c r="Q41" s="49" t="s">
        <v>23</v>
      </c>
      <c r="R41" s="49" t="s">
        <v>129</v>
      </c>
      <c r="S41" s="49" t="s">
        <v>117</v>
      </c>
      <c r="T41" s="49" t="s">
        <v>118</v>
      </c>
      <c r="U41" s="50" t="s">
        <v>119</v>
      </c>
      <c r="V41" s="29" t="s">
        <v>15</v>
      </c>
      <c r="W41" s="48" t="s">
        <v>120</v>
      </c>
      <c r="X41" s="45" t="s">
        <v>16</v>
      </c>
      <c r="Y41" s="55" t="s">
        <v>17</v>
      </c>
      <c r="Z41" s="49" t="s">
        <v>126</v>
      </c>
      <c r="AA41" s="2" t="s">
        <v>24</v>
      </c>
      <c r="AB41" s="49" t="s">
        <v>127</v>
      </c>
      <c r="AC41" s="2" t="s">
        <v>18</v>
      </c>
      <c r="AD41" s="2" t="s">
        <v>19</v>
      </c>
      <c r="AE41" s="4" t="s">
        <v>20</v>
      </c>
    </row>
    <row r="42" spans="1:31">
      <c r="A42" s="3"/>
      <c r="B42" s="1">
        <v>1300</v>
      </c>
      <c r="C42" s="47">
        <f>IF(B42&gt;0,(B42*$A$3),"")</f>
        <v>589.66959999999995</v>
      </c>
      <c r="F42" s="1">
        <v>1</v>
      </c>
      <c r="H42" s="1">
        <v>816</v>
      </c>
      <c r="I42" s="44">
        <f>IF(H42&gt;0,(H42*$A$3),"")</f>
        <v>370.13107200000002</v>
      </c>
      <c r="J42" s="32">
        <v>10.07</v>
      </c>
      <c r="K42" s="25">
        <v>6.6</v>
      </c>
      <c r="L42" s="25">
        <v>1.9</v>
      </c>
      <c r="M42" s="25">
        <v>1.54</v>
      </c>
      <c r="N42" s="25">
        <v>4.9000000000000002E-2</v>
      </c>
      <c r="O42" s="33">
        <v>2.8000000000000001E-2</v>
      </c>
      <c r="P42" s="51">
        <f>J42*$A$3</f>
        <v>4.5676714399999998</v>
      </c>
      <c r="Q42" s="51">
        <f t="shared" si="1"/>
        <v>6.6</v>
      </c>
      <c r="R42" s="51">
        <f>L42*$A$3</f>
        <v>0.86182479999999995</v>
      </c>
      <c r="S42" s="51">
        <f>M42*$A$3</f>
        <v>0.69853167999999999</v>
      </c>
      <c r="T42" s="51">
        <f>N42*$A$3</f>
        <v>2.2226008000000002E-2</v>
      </c>
      <c r="U42" s="51">
        <f>O42*$A$3</f>
        <v>1.2700576E-2</v>
      </c>
      <c r="V42" s="32">
        <v>17</v>
      </c>
      <c r="W42" s="51">
        <f>V42*$A$3</f>
        <v>7.7110640000000004</v>
      </c>
      <c r="X42" s="44">
        <v>59.4</v>
      </c>
      <c r="Y42" s="54">
        <v>0.59</v>
      </c>
      <c r="Z42" s="47">
        <f>IF(Y42&gt;0,(Y42*$A$3),"")</f>
        <v>0.26761927999999996</v>
      </c>
      <c r="AA42" s="1">
        <v>0.33</v>
      </c>
      <c r="AB42" s="47">
        <f>IF(AA42&gt;0,(AA42*$A$3),"")</f>
        <v>0.14968536000000002</v>
      </c>
      <c r="AC42" s="1">
        <v>9.1</v>
      </c>
      <c r="AD42" s="1">
        <v>0.28999999999999998</v>
      </c>
      <c r="AE42" s="6">
        <v>0.17</v>
      </c>
    </row>
    <row r="43" spans="1:31">
      <c r="A43" s="3"/>
      <c r="C43" s="47" t="str">
        <f>IF(B43&gt;0,(B43*$A$3),"")</f>
        <v/>
      </c>
      <c r="F43" s="1">
        <v>2</v>
      </c>
      <c r="I43" s="44" t="str">
        <f>IF(H43&gt;0,(H43*$A$3),"")</f>
        <v/>
      </c>
      <c r="J43" s="32">
        <v>10.45</v>
      </c>
      <c r="K43" s="25">
        <v>6.9</v>
      </c>
      <c r="L43" s="25">
        <v>1.9</v>
      </c>
      <c r="M43" s="25">
        <v>1.57</v>
      </c>
      <c r="N43" s="25">
        <v>4.9000000000000002E-2</v>
      </c>
      <c r="O43" s="33">
        <v>2.9000000000000001E-2</v>
      </c>
      <c r="P43" s="51">
        <f>J43*$A$3</f>
        <v>4.7400363999999993</v>
      </c>
      <c r="Q43" s="51">
        <f t="shared" si="1"/>
        <v>6.9</v>
      </c>
      <c r="R43" s="51">
        <f>L43*$A$3</f>
        <v>0.86182479999999995</v>
      </c>
      <c r="S43" s="51">
        <f>M43*$A$3</f>
        <v>0.71213944000000007</v>
      </c>
      <c r="T43" s="51">
        <f>N43*$A$3</f>
        <v>2.2226008000000002E-2</v>
      </c>
      <c r="U43" s="51">
        <f>O43*$A$3</f>
        <v>1.3154168000000001E-2</v>
      </c>
      <c r="V43" s="32">
        <v>17.5</v>
      </c>
      <c r="W43" s="51">
        <f>V43*$A$3</f>
        <v>7.9378599999999997</v>
      </c>
      <c r="X43" s="44">
        <v>59.6</v>
      </c>
      <c r="Y43" s="54">
        <v>0.59</v>
      </c>
      <c r="Z43" s="47">
        <f>IF(Y43&gt;0,(Y43*$A$3),"")</f>
        <v>0.26761927999999996</v>
      </c>
      <c r="AA43" s="1">
        <v>0.33</v>
      </c>
      <c r="AB43" s="47">
        <f>IF(AA43&gt;0,(AA43*$A$3),"")</f>
        <v>0.14968536000000002</v>
      </c>
      <c r="AC43" s="1">
        <v>8.9</v>
      </c>
      <c r="AD43" s="1">
        <v>0.28000000000000003</v>
      </c>
      <c r="AE43" s="6">
        <v>0.16</v>
      </c>
    </row>
    <row r="44" spans="1:31">
      <c r="A44" s="3"/>
      <c r="C44" s="47" t="str">
        <f>IF(B44&gt;0,(B44*$A$3),"")</f>
        <v/>
      </c>
      <c r="F44" s="1">
        <v>3</v>
      </c>
      <c r="I44" s="44" t="str">
        <f>IF(H44&gt;0,(H44*$A$3),"")</f>
        <v/>
      </c>
      <c r="J44" s="32">
        <v>10.75</v>
      </c>
      <c r="K44" s="25">
        <v>7.1</v>
      </c>
      <c r="L44" s="25">
        <v>2</v>
      </c>
      <c r="M44" s="25">
        <v>1.6</v>
      </c>
      <c r="N44" s="25">
        <v>0.05</v>
      </c>
      <c r="O44" s="33">
        <v>2.9000000000000001E-2</v>
      </c>
      <c r="P44" s="51">
        <f>J44*$A$3</f>
        <v>4.8761140000000003</v>
      </c>
      <c r="Q44" s="51">
        <f t="shared" si="1"/>
        <v>7.1</v>
      </c>
      <c r="R44" s="51">
        <f>L44*$A$3</f>
        <v>0.90718399999999999</v>
      </c>
      <c r="S44" s="51">
        <f>M44*$A$3</f>
        <v>0.72574720000000004</v>
      </c>
      <c r="T44" s="51">
        <f>N44*$A$3</f>
        <v>2.2679600000000001E-2</v>
      </c>
      <c r="U44" s="51">
        <f>O44*$A$3</f>
        <v>1.3154168000000001E-2</v>
      </c>
      <c r="V44" s="32">
        <v>18</v>
      </c>
      <c r="W44" s="51">
        <f>V44*$A$3</f>
        <v>8.1646560000000008</v>
      </c>
      <c r="X44" s="44">
        <v>59.6</v>
      </c>
      <c r="Y44" s="54">
        <v>0.59</v>
      </c>
      <c r="Z44" s="47">
        <f>IF(Y44&gt;0,(Y44*$A$3),"")</f>
        <v>0.26761927999999996</v>
      </c>
      <c r="AA44" s="1">
        <v>0.33</v>
      </c>
      <c r="AB44" s="47">
        <f>IF(AA44&gt;0,(AA44*$A$3),"")</f>
        <v>0.14968536000000002</v>
      </c>
      <c r="AC44" s="1">
        <v>8.8000000000000007</v>
      </c>
      <c r="AD44" s="1">
        <v>0.28000000000000003</v>
      </c>
      <c r="AE44" s="6">
        <v>0.16</v>
      </c>
    </row>
    <row r="45" spans="1:31">
      <c r="A45" s="3"/>
      <c r="C45" s="47" t="str">
        <f>IF(B45&gt;0,(B45*$A$3),"")</f>
        <v/>
      </c>
      <c r="F45" s="1">
        <v>4</v>
      </c>
      <c r="I45" s="44" t="str">
        <f>IF(H45&gt;0,(H45*$A$3),"")</f>
        <v/>
      </c>
      <c r="J45" s="32">
        <v>11.18</v>
      </c>
      <c r="K45" s="25">
        <v>7.5</v>
      </c>
      <c r="L45" s="25">
        <v>2</v>
      </c>
      <c r="M45" s="25">
        <v>1.63</v>
      </c>
      <c r="N45" s="25">
        <v>0.05</v>
      </c>
      <c r="O45" s="33">
        <v>0.03</v>
      </c>
      <c r="P45" s="51">
        <f>J45*$A$3</f>
        <v>5.0711585599999998</v>
      </c>
      <c r="Q45" s="51">
        <f t="shared" si="1"/>
        <v>7.5</v>
      </c>
      <c r="R45" s="51">
        <f>L45*$A$3</f>
        <v>0.90718399999999999</v>
      </c>
      <c r="S45" s="51">
        <f>M45*$A$3</f>
        <v>0.73935495999999989</v>
      </c>
      <c r="T45" s="51">
        <f>N45*$A$3</f>
        <v>2.2679600000000001E-2</v>
      </c>
      <c r="U45" s="51">
        <f>O45*$A$3</f>
        <v>1.360776E-2</v>
      </c>
      <c r="V45" s="32">
        <v>18.600000000000001</v>
      </c>
      <c r="W45" s="51">
        <f>V45*$A$3</f>
        <v>8.4368112000000011</v>
      </c>
      <c r="X45" s="44">
        <v>60</v>
      </c>
      <c r="Y45" s="54">
        <v>0.59</v>
      </c>
      <c r="Z45" s="47">
        <f>IF(Y45&gt;0,(Y45*$A$3),"")</f>
        <v>0.26761927999999996</v>
      </c>
      <c r="AA45" s="1">
        <v>0.33</v>
      </c>
      <c r="AB45" s="47">
        <f>IF(AA45&gt;0,(AA45*$A$3),"")</f>
        <v>0.14968536000000002</v>
      </c>
      <c r="AC45" s="1">
        <v>8.8000000000000007</v>
      </c>
      <c r="AD45" s="1">
        <v>0.27</v>
      </c>
      <c r="AE45" s="6">
        <v>0.16</v>
      </c>
    </row>
    <row r="46" spans="1:31">
      <c r="A46" s="3"/>
      <c r="C46" s="47" t="str">
        <f>IF(B46&gt;0,(B46*$A$3),"")</f>
        <v/>
      </c>
      <c r="F46" s="1">
        <v>5</v>
      </c>
      <c r="I46" s="44" t="str">
        <f>IF(H46&gt;0,(H46*$A$3),"")</f>
        <v/>
      </c>
      <c r="J46" s="32">
        <v>11.6</v>
      </c>
      <c r="K46" s="25">
        <v>7.9</v>
      </c>
      <c r="L46" s="25">
        <v>2.1</v>
      </c>
      <c r="M46" s="25">
        <v>1.69</v>
      </c>
      <c r="N46" s="25">
        <v>5.0999999999999997E-2</v>
      </c>
      <c r="O46" s="33">
        <v>3.1E-2</v>
      </c>
      <c r="P46" s="51">
        <f>J46*$A$3</f>
        <v>5.2616671999999998</v>
      </c>
      <c r="Q46" s="51">
        <f t="shared" si="1"/>
        <v>7.9</v>
      </c>
      <c r="R46" s="51">
        <f>L46*$A$3</f>
        <v>0.95254320000000003</v>
      </c>
      <c r="S46" s="51">
        <f>M46*$A$3</f>
        <v>0.76657047999999994</v>
      </c>
      <c r="T46" s="51">
        <f>N46*$A$3</f>
        <v>2.3133191999999997E-2</v>
      </c>
      <c r="U46" s="51">
        <f>O46*$A$3</f>
        <v>1.4061351999999999E-2</v>
      </c>
      <c r="V46" s="32">
        <v>19.2</v>
      </c>
      <c r="W46" s="51">
        <f>V46*$A$3</f>
        <v>8.7089663999999996</v>
      </c>
      <c r="X46" s="44">
        <v>60.3</v>
      </c>
      <c r="Y46" s="54">
        <v>0.6</v>
      </c>
      <c r="Z46" s="47">
        <f>IF(Y46&gt;0,(Y46*$A$3),"")</f>
        <v>0.27215519999999999</v>
      </c>
      <c r="AA46" s="1">
        <v>0.34</v>
      </c>
      <c r="AB46" s="47">
        <f>IF(AA46&gt;0,(AA46*$A$3),"")</f>
        <v>0.15422128000000002</v>
      </c>
      <c r="AC46" s="1">
        <v>8.8000000000000007</v>
      </c>
      <c r="AD46" s="1">
        <v>0.26</v>
      </c>
      <c r="AE46" s="6">
        <v>0.16</v>
      </c>
    </row>
    <row r="47" spans="1:31">
      <c r="A47" s="3"/>
      <c r="C47" s="47" t="str">
        <f>IF(B47&gt;0,(B47*$A$3),"")</f>
        <v/>
      </c>
      <c r="F47" s="1">
        <v>6</v>
      </c>
      <c r="I47" s="44" t="str">
        <f>IF(H47&gt;0,(H47*$A$3),"")</f>
        <v/>
      </c>
      <c r="J47" s="32">
        <v>12.13</v>
      </c>
      <c r="K47" s="25">
        <v>8.5</v>
      </c>
      <c r="L47" s="25">
        <v>2.1</v>
      </c>
      <c r="M47" s="25">
        <v>1.76</v>
      </c>
      <c r="N47" s="25">
        <v>5.1999999999999998E-2</v>
      </c>
      <c r="O47" s="33">
        <v>3.1E-2</v>
      </c>
      <c r="P47" s="51">
        <f>J47*$A$3</f>
        <v>5.5020709600000002</v>
      </c>
      <c r="Q47" s="51">
        <f t="shared" si="1"/>
        <v>8.5</v>
      </c>
      <c r="R47" s="51">
        <f>L47*$A$3</f>
        <v>0.95254320000000003</v>
      </c>
      <c r="S47" s="51">
        <f>M47*$A$3</f>
        <v>0.79832192000000002</v>
      </c>
      <c r="T47" s="51">
        <f>N47*$A$3</f>
        <v>2.3586784E-2</v>
      </c>
      <c r="U47" s="51">
        <f>O47*$A$3</f>
        <v>1.4061351999999999E-2</v>
      </c>
      <c r="V47" s="32">
        <v>19.899999999999999</v>
      </c>
      <c r="W47" s="51">
        <f>V47*$A$3</f>
        <v>9.0264807999999999</v>
      </c>
      <c r="X47" s="44">
        <v>61</v>
      </c>
      <c r="Y47" s="54">
        <v>0.61</v>
      </c>
      <c r="Z47" s="47">
        <f>IF(Y47&gt;0,(Y47*$A$3),"")</f>
        <v>0.27669112000000001</v>
      </c>
      <c r="AA47" s="1">
        <v>0.35</v>
      </c>
      <c r="AB47" s="47">
        <f>IF(AA47&gt;0,(AA47*$A$3),"")</f>
        <v>0.15875719999999999</v>
      </c>
      <c r="AC47" s="1">
        <v>8.9</v>
      </c>
      <c r="AD47" s="1">
        <v>0.26</v>
      </c>
      <c r="AE47" s="6">
        <v>0.16</v>
      </c>
    </row>
    <row r="48" spans="1:31">
      <c r="A48" s="3"/>
      <c r="C48" s="47" t="str">
        <f>IF(B48&gt;0,(B48*$A$3),"")</f>
        <v/>
      </c>
      <c r="F48" s="1">
        <v>7</v>
      </c>
      <c r="I48" s="44" t="str">
        <f>IF(H48&gt;0,(H48*$A$3),"")</f>
        <v/>
      </c>
      <c r="J48" s="32">
        <v>12.76</v>
      </c>
      <c r="K48" s="25">
        <v>9.3000000000000007</v>
      </c>
      <c r="L48" s="25">
        <v>2.1</v>
      </c>
      <c r="M48" s="25">
        <v>1.88</v>
      </c>
      <c r="N48" s="25">
        <v>7.3999999999999996E-2</v>
      </c>
      <c r="O48" s="33">
        <v>4.1000000000000002E-2</v>
      </c>
      <c r="P48" s="51">
        <f>J48*$A$3</f>
        <v>5.7878339199999997</v>
      </c>
      <c r="Q48" s="51">
        <f t="shared" si="1"/>
        <v>9.3000000000000007</v>
      </c>
      <c r="R48" s="51">
        <f>L48*$A$3</f>
        <v>0.95254320000000003</v>
      </c>
      <c r="S48" s="51">
        <f>M48*$A$3</f>
        <v>0.85275295999999989</v>
      </c>
      <c r="T48" s="51">
        <f>N48*$A$3</f>
        <v>3.3565807999999996E-2</v>
      </c>
      <c r="U48" s="51">
        <f>O48*$A$3</f>
        <v>1.8597272000000001E-2</v>
      </c>
      <c r="V48" s="32">
        <v>20.6</v>
      </c>
      <c r="W48" s="51">
        <f>V48*$A$3</f>
        <v>9.3439952000000002</v>
      </c>
      <c r="X48" s="44">
        <v>62</v>
      </c>
      <c r="Y48" s="54">
        <v>0.63</v>
      </c>
      <c r="Z48" s="47">
        <f>IF(Y48&gt;0,(Y48*$A$3),"")</f>
        <v>0.28576296000000001</v>
      </c>
      <c r="AA48" s="1">
        <v>0.36</v>
      </c>
      <c r="AB48" s="47">
        <f>IF(AA48&gt;0,(AA48*$A$3),"")</f>
        <v>0.16329311999999999</v>
      </c>
      <c r="AC48" s="1">
        <v>9.1</v>
      </c>
      <c r="AD48" s="1">
        <v>0.36</v>
      </c>
      <c r="AE48" s="6">
        <v>0.2</v>
      </c>
    </row>
    <row r="49" spans="1:31">
      <c r="A49" s="3"/>
      <c r="C49" s="47" t="str">
        <f>IF(B49&gt;0,(B49*$A$3),"")</f>
        <v/>
      </c>
      <c r="F49" s="1">
        <v>8</v>
      </c>
      <c r="I49" s="44" t="str">
        <f>IF(H49&gt;0,(H49*$A$3),"")</f>
        <v/>
      </c>
      <c r="J49" s="32">
        <v>13.61</v>
      </c>
      <c r="K49" s="25">
        <v>10.5</v>
      </c>
      <c r="L49" s="25">
        <v>2</v>
      </c>
      <c r="M49" s="25">
        <v>2.06</v>
      </c>
      <c r="N49" s="25">
        <v>7.5999999999999998E-2</v>
      </c>
      <c r="O49" s="33">
        <v>4.2000000000000003E-2</v>
      </c>
      <c r="P49" s="51">
        <f>J49*$A$3</f>
        <v>6.1733871200000001</v>
      </c>
      <c r="Q49" s="51">
        <f t="shared" si="1"/>
        <v>10.5</v>
      </c>
      <c r="R49" s="51">
        <f>L49*$A$3</f>
        <v>0.90718399999999999</v>
      </c>
      <c r="S49" s="51">
        <f>M49*$A$3</f>
        <v>0.93439952000000004</v>
      </c>
      <c r="T49" s="51">
        <f>N49*$A$3</f>
        <v>3.4472992000000001E-2</v>
      </c>
      <c r="U49" s="51">
        <f>O49*$A$3</f>
        <v>1.9050864000000001E-2</v>
      </c>
      <c r="V49" s="32">
        <v>21.4</v>
      </c>
      <c r="W49" s="51">
        <f>V49*$A$3</f>
        <v>9.7068687999999987</v>
      </c>
      <c r="X49" s="44">
        <v>63.5</v>
      </c>
      <c r="Y49" s="54">
        <v>0.65</v>
      </c>
      <c r="Z49" s="47">
        <f>IF(Y49&gt;0,(Y49*$A$3),"")</f>
        <v>0.29483480000000001</v>
      </c>
      <c r="AA49" s="1">
        <v>0.38</v>
      </c>
      <c r="AB49" s="47">
        <f>IF(AA49&gt;0,(AA49*$A$3),"")</f>
        <v>0.17236496000000001</v>
      </c>
      <c r="AC49" s="1">
        <v>9.6</v>
      </c>
      <c r="AD49" s="1">
        <v>0.35</v>
      </c>
      <c r="AE49" s="6">
        <v>0.2</v>
      </c>
    </row>
    <row r="50" spans="1:31">
      <c r="A50" s="3"/>
      <c r="C50" s="47" t="str">
        <f>IF(B50&gt;0,(B50*$A$3),"")</f>
        <v/>
      </c>
      <c r="F50" s="1">
        <v>9</v>
      </c>
      <c r="H50" s="1">
        <v>1205</v>
      </c>
      <c r="I50" s="44">
        <f>IF(H50&gt;0,(H50*$A$3),"")</f>
        <v>546.57835999999998</v>
      </c>
      <c r="J50" s="34">
        <v>14.66</v>
      </c>
      <c r="K50" s="35">
        <v>12.1</v>
      </c>
      <c r="L50" s="35">
        <v>1.8</v>
      </c>
      <c r="M50" s="35">
        <v>2.35</v>
      </c>
      <c r="N50" s="35">
        <v>7.8E-2</v>
      </c>
      <c r="O50" s="36">
        <v>4.2999999999999997E-2</v>
      </c>
      <c r="P50" s="51">
        <f>J50*$A$3</f>
        <v>6.6496587199999997</v>
      </c>
      <c r="Q50" s="51">
        <f t="shared" si="1"/>
        <v>12.1</v>
      </c>
      <c r="R50" s="51">
        <f>L50*$A$3</f>
        <v>0.81646560000000001</v>
      </c>
      <c r="S50" s="51">
        <f>M50*$A$3</f>
        <v>1.0659411999999999</v>
      </c>
      <c r="T50" s="51">
        <f>N50*$A$3</f>
        <v>3.5380175999999999E-2</v>
      </c>
      <c r="U50" s="51">
        <f>O50*$A$3</f>
        <v>1.9504456E-2</v>
      </c>
      <c r="V50" s="34">
        <v>22.4</v>
      </c>
      <c r="W50" s="51">
        <f>V50*$A$3</f>
        <v>10.160460799999999</v>
      </c>
      <c r="X50" s="46">
        <v>65.400000000000006</v>
      </c>
      <c r="Y50" s="56">
        <v>0.68</v>
      </c>
      <c r="Z50" s="47">
        <f>IF(Y50&gt;0,(Y50*$A$3),"")</f>
        <v>0.30844256000000003</v>
      </c>
      <c r="AA50" s="8">
        <v>0.41</v>
      </c>
      <c r="AB50" s="47">
        <f>IF(AA50&gt;0,(AA50*$A$3),"")</f>
        <v>0.18597271999999998</v>
      </c>
      <c r="AC50" s="8">
        <v>10.5</v>
      </c>
      <c r="AD50" s="8">
        <v>0.35</v>
      </c>
      <c r="AE50" s="9">
        <v>0.19</v>
      </c>
    </row>
    <row r="51" spans="1:31">
      <c r="A51" s="13"/>
      <c r="B51" s="8"/>
      <c r="C51" s="47" t="str">
        <f>IF(B51&gt;0,(B51*$A$3),"")</f>
        <v/>
      </c>
      <c r="D51" s="8"/>
      <c r="E51" s="52"/>
      <c r="F51" s="8"/>
      <c r="G51" s="8"/>
      <c r="H51" s="8"/>
      <c r="I51" s="46"/>
      <c r="J51" s="35"/>
      <c r="K51" s="35"/>
      <c r="L51" s="35"/>
      <c r="M51" s="35"/>
      <c r="N51" s="35"/>
      <c r="O51" s="35"/>
      <c r="P51" s="51">
        <f>J51*$A$3</f>
        <v>0</v>
      </c>
      <c r="Q51" s="51">
        <f t="shared" si="1"/>
        <v>0</v>
      </c>
      <c r="R51" s="51">
        <f>L51*$A$3</f>
        <v>0</v>
      </c>
      <c r="S51" s="51">
        <f>M51*$A$3</f>
        <v>0</v>
      </c>
      <c r="T51" s="51">
        <f>N51*$A$3</f>
        <v>0</v>
      </c>
      <c r="U51" s="51">
        <f>O51*$A$3</f>
        <v>0</v>
      </c>
      <c r="V51" s="35"/>
      <c r="W51" s="52"/>
      <c r="X51" s="46"/>
      <c r="Y51" s="56"/>
      <c r="Z51" s="52"/>
      <c r="AA51" s="8"/>
      <c r="AB51" s="52"/>
      <c r="AC51" s="8"/>
      <c r="AD51" s="8"/>
      <c r="AE51" s="9"/>
    </row>
    <row r="52" spans="1:31">
      <c r="A52" s="11"/>
      <c r="B52" s="10"/>
      <c r="C52" s="47" t="str">
        <f>IF(B52&gt;0,(B52*$A$3),"")</f>
        <v/>
      </c>
      <c r="D52" s="10"/>
      <c r="E52" s="53"/>
      <c r="F52" s="10"/>
      <c r="G52" s="10"/>
      <c r="H52" s="10"/>
      <c r="I52" s="57"/>
      <c r="J52" s="26" t="s">
        <v>10</v>
      </c>
      <c r="K52" s="27"/>
      <c r="L52" s="27"/>
      <c r="M52" s="27"/>
      <c r="N52" s="27"/>
      <c r="O52" s="28"/>
      <c r="P52" s="51" t="e">
        <f>J52*$A$3</f>
        <v>#VALUE!</v>
      </c>
      <c r="Q52" s="51">
        <f t="shared" si="1"/>
        <v>0</v>
      </c>
      <c r="R52" s="51">
        <f>L52*$A$3</f>
        <v>0</v>
      </c>
      <c r="S52" s="51">
        <f>M52*$A$3</f>
        <v>0</v>
      </c>
      <c r="T52" s="51">
        <f>N52*$A$3</f>
        <v>0</v>
      </c>
      <c r="U52" s="51">
        <f>O52*$A$3</f>
        <v>0</v>
      </c>
      <c r="V52" s="20" t="s">
        <v>21</v>
      </c>
      <c r="W52" s="21"/>
      <c r="X52" s="21"/>
      <c r="Y52" s="21"/>
      <c r="Z52" s="21"/>
      <c r="AA52" s="21"/>
      <c r="AB52" s="21"/>
      <c r="AC52" s="21"/>
      <c r="AD52" s="21"/>
      <c r="AE52" s="22"/>
    </row>
    <row r="53" spans="1:31" ht="39">
      <c r="A53" s="12" t="s">
        <v>29</v>
      </c>
      <c r="B53" s="2" t="s">
        <v>27</v>
      </c>
      <c r="C53" s="47" t="s">
        <v>132</v>
      </c>
      <c r="D53" s="2" t="s">
        <v>31</v>
      </c>
      <c r="E53" s="49" t="s">
        <v>128</v>
      </c>
      <c r="F53" s="2"/>
      <c r="G53" s="2"/>
      <c r="H53" s="2" t="s">
        <v>133</v>
      </c>
      <c r="I53" s="45" t="s">
        <v>30</v>
      </c>
      <c r="J53" s="29" t="s">
        <v>11</v>
      </c>
      <c r="K53" s="30" t="s">
        <v>23</v>
      </c>
      <c r="L53" s="30" t="s">
        <v>24</v>
      </c>
      <c r="M53" s="30" t="s">
        <v>12</v>
      </c>
      <c r="N53" s="30" t="s">
        <v>13</v>
      </c>
      <c r="O53" s="31" t="s">
        <v>14</v>
      </c>
      <c r="P53" s="48" t="s">
        <v>130</v>
      </c>
      <c r="Q53" s="49" t="s">
        <v>23</v>
      </c>
      <c r="R53" s="49" t="s">
        <v>129</v>
      </c>
      <c r="S53" s="49" t="s">
        <v>117</v>
      </c>
      <c r="T53" s="49" t="s">
        <v>118</v>
      </c>
      <c r="U53" s="50" t="s">
        <v>119</v>
      </c>
      <c r="V53" s="29" t="s">
        <v>15</v>
      </c>
      <c r="W53" s="48" t="s">
        <v>120</v>
      </c>
      <c r="X53" s="45" t="s">
        <v>16</v>
      </c>
      <c r="Y53" s="55" t="s">
        <v>17</v>
      </c>
      <c r="Z53" s="49" t="s">
        <v>126</v>
      </c>
      <c r="AA53" s="2" t="s">
        <v>24</v>
      </c>
      <c r="AB53" s="49" t="s">
        <v>127</v>
      </c>
      <c r="AC53" s="2" t="s">
        <v>18</v>
      </c>
      <c r="AD53" s="2" t="s">
        <v>19</v>
      </c>
      <c r="AE53" s="4" t="s">
        <v>20</v>
      </c>
    </row>
    <row r="54" spans="1:31">
      <c r="A54" s="3"/>
      <c r="B54" s="1">
        <v>1300</v>
      </c>
      <c r="C54" s="47">
        <f>IF(B54&gt;0,(B54*$A$3),"")</f>
        <v>589.66959999999995</v>
      </c>
      <c r="D54" s="1">
        <v>400</v>
      </c>
      <c r="E54" s="47">
        <f>IF(D54&gt;0,(D54*$A$3),"")</f>
        <v>181.43680000000001</v>
      </c>
      <c r="H54" s="1">
        <v>1</v>
      </c>
      <c r="I54" s="47">
        <f>IF(H54&gt;0,(H54*$A$3),"")</f>
        <v>0.453592</v>
      </c>
      <c r="J54" s="32">
        <v>5.67</v>
      </c>
      <c r="K54" s="25">
        <v>3.9</v>
      </c>
      <c r="L54" s="25">
        <v>1</v>
      </c>
      <c r="M54" s="25">
        <v>1.04</v>
      </c>
      <c r="N54" s="25">
        <v>0.04</v>
      </c>
      <c r="O54" s="33">
        <v>0.02</v>
      </c>
      <c r="P54" s="51">
        <f>J54*$A$3</f>
        <v>2.5718666400000001</v>
      </c>
      <c r="Q54" s="51">
        <f t="shared" si="1"/>
        <v>3.9</v>
      </c>
      <c r="R54" s="51">
        <f>L54*$A$3</f>
        <v>0.453592</v>
      </c>
      <c r="S54" s="51">
        <f>M54*$A$3</f>
        <v>0.47173567999999999</v>
      </c>
      <c r="T54" s="51">
        <f>N54*$A$3</f>
        <v>1.8143679999999999E-2</v>
      </c>
      <c r="U54" s="51">
        <f>O54*$A$3</f>
        <v>9.0718399999999994E-3</v>
      </c>
      <c r="V54" s="32">
        <v>9.5</v>
      </c>
      <c r="W54" s="51">
        <f>V54*$A$3</f>
        <v>4.3091239999999997</v>
      </c>
      <c r="X54" s="44">
        <v>59.5</v>
      </c>
      <c r="Y54" s="54">
        <v>0.59</v>
      </c>
      <c r="Z54" s="47">
        <f>IF(Y54&gt;0,(AA54*$A$3),"")</f>
        <v>0.14968536000000002</v>
      </c>
      <c r="AA54" s="1">
        <v>0.33</v>
      </c>
      <c r="AB54" s="47">
        <f>IF(AA54&gt;0,(AA54*$A$3),"")</f>
        <v>0.14968536000000002</v>
      </c>
      <c r="AC54" s="1">
        <v>10.9</v>
      </c>
      <c r="AD54" s="1">
        <v>0.42</v>
      </c>
      <c r="AE54" s="6">
        <v>0.21</v>
      </c>
    </row>
    <row r="55" spans="1:31">
      <c r="A55" s="3"/>
      <c r="C55" s="47" t="str">
        <f>IF(B55&gt;0,(B55*$A$3),"")</f>
        <v/>
      </c>
      <c r="D55" s="1">
        <v>500</v>
      </c>
      <c r="E55" s="47">
        <f>IF(D55&gt;0,(D55*$A$3),"")</f>
        <v>226.79599999999999</v>
      </c>
      <c r="H55" s="1">
        <v>1</v>
      </c>
      <c r="I55" s="47">
        <f>IF(H55&gt;0,(H55*$A$3),"")</f>
        <v>0.453592</v>
      </c>
      <c r="J55" s="32">
        <v>6.69</v>
      </c>
      <c r="K55" s="25">
        <v>4.5999999999999996</v>
      </c>
      <c r="L55" s="25">
        <v>1.2</v>
      </c>
      <c r="M55" s="25">
        <v>1.1200000000000001</v>
      </c>
      <c r="N55" s="25">
        <v>4.1000000000000002E-2</v>
      </c>
      <c r="O55" s="33">
        <v>2.1999999999999999E-2</v>
      </c>
      <c r="P55" s="51">
        <f>J55*$A$3</f>
        <v>3.0345304800000004</v>
      </c>
      <c r="Q55" s="51">
        <f t="shared" si="1"/>
        <v>4.5999999999999996</v>
      </c>
      <c r="R55" s="51">
        <f>L55*$A$3</f>
        <v>0.54431039999999997</v>
      </c>
      <c r="S55" s="51">
        <f>M55*$A$3</f>
        <v>0.50802304000000009</v>
      </c>
      <c r="T55" s="51">
        <f>N55*$A$3</f>
        <v>1.8597272000000001E-2</v>
      </c>
      <c r="U55" s="51">
        <f>O55*$A$3</f>
        <v>9.9790239999999995E-3</v>
      </c>
      <c r="V55" s="32">
        <v>11.3</v>
      </c>
      <c r="W55" s="51">
        <f>V55*$A$3</f>
        <v>5.1255896000000005</v>
      </c>
      <c r="X55" s="44">
        <v>59.4</v>
      </c>
      <c r="Y55" s="54">
        <v>0.59</v>
      </c>
      <c r="Z55" s="47">
        <f>IF(AA55&gt;0,(AA55*$A$3),"")</f>
        <v>0.14968536000000002</v>
      </c>
      <c r="AA55" s="1">
        <v>0.33</v>
      </c>
      <c r="AB55" s="47">
        <f>IF(AA55&gt;0,(AA55*$A$3),"")</f>
        <v>0.14968536000000002</v>
      </c>
      <c r="AC55" s="1">
        <v>10</v>
      </c>
      <c r="AD55" s="1">
        <v>0.36</v>
      </c>
      <c r="AE55" s="6">
        <v>0.19</v>
      </c>
    </row>
    <row r="56" spans="1:31">
      <c r="A56" s="3"/>
      <c r="C56" s="47" t="str">
        <f>IF(B56&gt;0,(B56*$A$3),"")</f>
        <v/>
      </c>
      <c r="D56" s="1">
        <v>600</v>
      </c>
      <c r="E56" s="47">
        <f>IF(D56&gt;0,(D56*$A$3),"")</f>
        <v>272.15519999999998</v>
      </c>
      <c r="H56" s="1">
        <v>1</v>
      </c>
      <c r="I56" s="47">
        <f>IF(H56&gt;0,(H56*$A$3),"")</f>
        <v>0.453592</v>
      </c>
      <c r="J56" s="32">
        <v>7.7</v>
      </c>
      <c r="K56" s="25">
        <v>5.3</v>
      </c>
      <c r="L56" s="25">
        <v>1.3</v>
      </c>
      <c r="M56" s="25">
        <v>1.2</v>
      </c>
      <c r="N56" s="25">
        <v>4.2000000000000003E-2</v>
      </c>
      <c r="O56" s="33">
        <v>2.4E-2</v>
      </c>
      <c r="P56" s="51">
        <f>J56*$A$3</f>
        <v>3.4926583999999998</v>
      </c>
      <c r="Q56" s="51">
        <f t="shared" si="1"/>
        <v>5.3</v>
      </c>
      <c r="R56" s="51">
        <f>L56*$A$3</f>
        <v>0.58966960000000002</v>
      </c>
      <c r="S56" s="51">
        <f>M56*$A$3</f>
        <v>0.54431039999999997</v>
      </c>
      <c r="T56" s="51">
        <f>N56*$A$3</f>
        <v>1.9050864000000001E-2</v>
      </c>
      <c r="U56" s="51">
        <f>O56*$A$3</f>
        <v>1.0886208E-2</v>
      </c>
      <c r="V56" s="32">
        <v>12.9</v>
      </c>
      <c r="W56" s="51">
        <f>V56*$A$3</f>
        <v>5.8513368000000003</v>
      </c>
      <c r="X56" s="44">
        <v>59.5</v>
      </c>
      <c r="Y56" s="54">
        <v>0.59</v>
      </c>
      <c r="Z56" s="47">
        <f>IF(AA56&gt;0,(AA56*$A$3),"")</f>
        <v>0.14968536000000002</v>
      </c>
      <c r="AA56" s="1">
        <v>0.33</v>
      </c>
      <c r="AB56" s="47">
        <f>IF(AA56&gt;0,(AA56*$A$3),"")</f>
        <v>0.14968536000000002</v>
      </c>
      <c r="AC56" s="1">
        <v>9.3000000000000007</v>
      </c>
      <c r="AD56" s="1">
        <v>0.33</v>
      </c>
      <c r="AE56" s="6">
        <v>0.18</v>
      </c>
    </row>
    <row r="57" spans="1:31">
      <c r="A57" s="3"/>
      <c r="C57" s="47" t="str">
        <f>IF(B57&gt;0,(B57*$A$3),"")</f>
        <v/>
      </c>
      <c r="D57" s="1">
        <v>700</v>
      </c>
      <c r="E57" s="47">
        <f>IF(D57&gt;0,(D57*$A$3),"")</f>
        <v>317.51440000000002</v>
      </c>
      <c r="H57" s="1">
        <v>1</v>
      </c>
      <c r="I57" s="47">
        <f>IF(H57&gt;0,(H57*$A$3),"")</f>
        <v>0.453592</v>
      </c>
      <c r="J57" s="32">
        <v>8.61</v>
      </c>
      <c r="K57" s="25">
        <v>5.9</v>
      </c>
      <c r="L57" s="25">
        <v>1.5</v>
      </c>
      <c r="M57" s="25">
        <v>1.28</v>
      </c>
      <c r="N57" s="25">
        <v>4.3999999999999997E-2</v>
      </c>
      <c r="O57" s="33">
        <v>2.5000000000000001E-2</v>
      </c>
      <c r="P57" s="51">
        <f>J57*$A$3</f>
        <v>3.9054271199999997</v>
      </c>
      <c r="Q57" s="51">
        <f t="shared" si="1"/>
        <v>5.9</v>
      </c>
      <c r="R57" s="51">
        <f>L57*$A$3</f>
        <v>0.68038799999999999</v>
      </c>
      <c r="S57" s="51">
        <f>M57*$A$3</f>
        <v>0.58059775999999996</v>
      </c>
      <c r="T57" s="51">
        <f>N57*$A$3</f>
        <v>1.9958047999999999E-2</v>
      </c>
      <c r="U57" s="51">
        <f>O57*$A$3</f>
        <v>1.1339800000000001E-2</v>
      </c>
      <c r="V57" s="32">
        <v>14.5</v>
      </c>
      <c r="W57" s="51">
        <f>V57*$A$3</f>
        <v>6.5770840000000002</v>
      </c>
      <c r="X57" s="44">
        <v>59.4</v>
      </c>
      <c r="Y57" s="54">
        <v>0.59</v>
      </c>
      <c r="Z57" s="47">
        <f>IF(AA57&gt;0,(AA57*$A$3),"")</f>
        <v>0.14968536000000002</v>
      </c>
      <c r="AA57" s="1">
        <v>0.33</v>
      </c>
      <c r="AB57" s="47">
        <f>IF(AA57&gt;0,(AA57*$A$3),"")</f>
        <v>0.14968536000000002</v>
      </c>
      <c r="AC57" s="1">
        <v>8.8000000000000007</v>
      </c>
      <c r="AD57" s="1">
        <v>0.3</v>
      </c>
      <c r="AE57" s="6">
        <v>0.17</v>
      </c>
    </row>
    <row r="58" spans="1:31">
      <c r="A58" s="3"/>
      <c r="C58" s="47" t="str">
        <f>IF(B58&gt;0,(B58*$A$3),"")</f>
        <v/>
      </c>
      <c r="D58" s="1">
        <v>800</v>
      </c>
      <c r="E58" s="47">
        <f>IF(D58&gt;0,(D58*$A$3),"")</f>
        <v>362.87360000000001</v>
      </c>
      <c r="H58" s="1">
        <v>1</v>
      </c>
      <c r="I58" s="47">
        <f>IF(H58&gt;0,(H58*$A$3),"")</f>
        <v>0.453592</v>
      </c>
      <c r="J58" s="32">
        <v>9.5</v>
      </c>
      <c r="K58" s="25">
        <v>6.5</v>
      </c>
      <c r="L58" s="25">
        <v>1.6</v>
      </c>
      <c r="M58" s="25">
        <v>1.35</v>
      </c>
      <c r="N58" s="25">
        <v>4.5999999999999999E-2</v>
      </c>
      <c r="O58" s="33">
        <v>2.7E-2</v>
      </c>
      <c r="P58" s="51">
        <f>J58*$A$3</f>
        <v>4.3091239999999997</v>
      </c>
      <c r="Q58" s="51">
        <f t="shared" si="1"/>
        <v>6.5</v>
      </c>
      <c r="R58" s="51">
        <f>L58*$A$3</f>
        <v>0.72574720000000004</v>
      </c>
      <c r="S58" s="51">
        <f>M58*$A$3</f>
        <v>0.61234920000000004</v>
      </c>
      <c r="T58" s="51">
        <f>N58*$A$3</f>
        <v>2.0865232000000001E-2</v>
      </c>
      <c r="U58" s="51">
        <f>O58*$A$3</f>
        <v>1.2246983999999999E-2</v>
      </c>
      <c r="V58" s="32">
        <v>16</v>
      </c>
      <c r="W58" s="51">
        <f>V58*$A$3</f>
        <v>7.2574719999999999</v>
      </c>
      <c r="X58" s="44">
        <v>59.3</v>
      </c>
      <c r="Y58" s="54">
        <v>0.59</v>
      </c>
      <c r="Z58" s="47">
        <f>IF(AA58&gt;0,(AA58*$A$3),"")</f>
        <v>0.14968536000000002</v>
      </c>
      <c r="AA58" s="1">
        <v>0.33</v>
      </c>
      <c r="AB58" s="47">
        <f>IF(AA58&gt;0,(AA58*$A$3),"")</f>
        <v>0.14968536000000002</v>
      </c>
      <c r="AC58" s="1">
        <v>8.4</v>
      </c>
      <c r="AD58" s="1">
        <v>0.28000000000000003</v>
      </c>
      <c r="AE58" s="6">
        <v>0.17</v>
      </c>
    </row>
    <row r="59" spans="1:31">
      <c r="A59" s="3"/>
      <c r="C59" s="47" t="str">
        <f>IF(B59&gt;0,(B59*$A$3),"")</f>
        <v/>
      </c>
      <c r="D59" s="1">
        <v>400</v>
      </c>
      <c r="E59" s="47">
        <f>IF(D59&gt;0,(D59*$A$3),"")</f>
        <v>181.43680000000001</v>
      </c>
      <c r="H59" s="1">
        <v>1.5</v>
      </c>
      <c r="I59" s="47">
        <f>IF(H59&gt;0,(H59*$A$3),"")</f>
        <v>0.68038799999999999</v>
      </c>
      <c r="J59" s="32">
        <v>6.24</v>
      </c>
      <c r="K59" s="25">
        <v>3.9</v>
      </c>
      <c r="L59" s="25">
        <v>1.5</v>
      </c>
      <c r="M59" s="25">
        <v>1.25</v>
      </c>
      <c r="N59" s="25">
        <v>5.2999999999999999E-2</v>
      </c>
      <c r="O59" s="33">
        <v>2.5999999999999999E-2</v>
      </c>
      <c r="P59" s="51">
        <f>J59*$A$3</f>
        <v>2.8304140800000002</v>
      </c>
      <c r="Q59" s="51">
        <f t="shared" si="1"/>
        <v>3.9</v>
      </c>
      <c r="R59" s="51">
        <f>L59*$A$3</f>
        <v>0.68038799999999999</v>
      </c>
      <c r="S59" s="51">
        <f>M59*$A$3</f>
        <v>0.56698999999999999</v>
      </c>
      <c r="T59" s="51">
        <f>N59*$A$3</f>
        <v>2.4040375999999999E-2</v>
      </c>
      <c r="U59" s="51">
        <f>O59*$A$3</f>
        <v>1.1793392E-2</v>
      </c>
      <c r="V59" s="32">
        <v>9.6999999999999993</v>
      </c>
      <c r="W59" s="51">
        <f>V59*$A$3</f>
        <v>4.3998423999999998</v>
      </c>
      <c r="X59" s="44">
        <v>64</v>
      </c>
      <c r="Y59" s="54">
        <v>0.66</v>
      </c>
      <c r="Z59" s="47">
        <f>IF(AA59&gt;0,(AA59*$A$3),"")</f>
        <v>0.17690088000000001</v>
      </c>
      <c r="AA59" s="1">
        <v>0.39</v>
      </c>
      <c r="AB59" s="47">
        <f>IF(AA59&gt;0,(AA59*$A$3),"")</f>
        <v>0.17690088000000001</v>
      </c>
      <c r="AC59" s="1">
        <v>12.8</v>
      </c>
      <c r="AD59" s="1">
        <v>0.54</v>
      </c>
      <c r="AE59" s="6">
        <v>0.26</v>
      </c>
    </row>
    <row r="60" spans="1:31">
      <c r="A60" s="3"/>
      <c r="C60" s="47" t="str">
        <f>IF(B60&gt;0,(B60*$A$3),"")</f>
        <v/>
      </c>
      <c r="D60" s="1">
        <v>500</v>
      </c>
      <c r="E60" s="47">
        <f>IF(D60&gt;0,(D60*$A$3),"")</f>
        <v>226.79599999999999</v>
      </c>
      <c r="H60" s="1">
        <v>1.5</v>
      </c>
      <c r="I60" s="47">
        <f>IF(H60&gt;0,(H60*$A$3),"")</f>
        <v>0.68038799999999999</v>
      </c>
      <c r="J60" s="32">
        <v>7.37</v>
      </c>
      <c r="K60" s="25">
        <v>4.5999999999999996</v>
      </c>
      <c r="L60" s="25">
        <v>1.8</v>
      </c>
      <c r="M60" s="25">
        <v>1.32</v>
      </c>
      <c r="N60" s="25">
        <v>5.3999999999999999E-2</v>
      </c>
      <c r="O60" s="33">
        <v>2.7E-2</v>
      </c>
      <c r="P60" s="51">
        <f>J60*$A$3</f>
        <v>3.34297304</v>
      </c>
      <c r="Q60" s="51">
        <f t="shared" si="1"/>
        <v>4.5999999999999996</v>
      </c>
      <c r="R60" s="51">
        <f>L60*$A$3</f>
        <v>0.81646560000000001</v>
      </c>
      <c r="S60" s="51">
        <f>M60*$A$3</f>
        <v>0.59874144000000007</v>
      </c>
      <c r="T60" s="51">
        <f>N60*$A$3</f>
        <v>2.4493967999999998E-2</v>
      </c>
      <c r="U60" s="51">
        <f>O60*$A$3</f>
        <v>1.2246983999999999E-2</v>
      </c>
      <c r="V60" s="32">
        <v>11.5</v>
      </c>
      <c r="W60" s="51">
        <f>V60*$A$3</f>
        <v>5.2163079999999997</v>
      </c>
      <c r="X60" s="44">
        <v>64</v>
      </c>
      <c r="Y60" s="54">
        <v>0.66</v>
      </c>
      <c r="Z60" s="47">
        <f>IF(AA60&gt;0,(AA60*$A$3),"")</f>
        <v>0.17690088000000001</v>
      </c>
      <c r="AA60" s="1">
        <v>0.39</v>
      </c>
      <c r="AB60" s="47">
        <f>IF(AA60&gt;0,(AA60*$A$3),"")</f>
        <v>0.17690088000000001</v>
      </c>
      <c r="AC60" s="1">
        <v>11.5</v>
      </c>
      <c r="AD60" s="1">
        <v>0.47</v>
      </c>
      <c r="AE60" s="6">
        <v>0.23</v>
      </c>
    </row>
    <row r="61" spans="1:31">
      <c r="A61" s="3"/>
      <c r="C61" s="47" t="str">
        <f>IF(B61&gt;0,(B61*$A$3),"")</f>
        <v/>
      </c>
      <c r="D61" s="1">
        <v>600</v>
      </c>
      <c r="E61" s="47">
        <f>IF(D61&gt;0,(D61*$A$3),"")</f>
        <v>272.15519999999998</v>
      </c>
      <c r="H61" s="1">
        <v>1.5</v>
      </c>
      <c r="I61" s="47">
        <f>IF(H61&gt;0,(H61*$A$3),"")</f>
        <v>0.68038799999999999</v>
      </c>
      <c r="J61" s="32">
        <v>8.4700000000000006</v>
      </c>
      <c r="K61" s="25">
        <v>5.3</v>
      </c>
      <c r="L61" s="25">
        <v>2</v>
      </c>
      <c r="M61" s="25">
        <v>1.39</v>
      </c>
      <c r="N61" s="25">
        <v>5.3999999999999999E-2</v>
      </c>
      <c r="O61" s="33">
        <v>2.8000000000000001E-2</v>
      </c>
      <c r="P61" s="51">
        <f>J61*$A$3</f>
        <v>3.8419242400000004</v>
      </c>
      <c r="Q61" s="51">
        <f t="shared" si="1"/>
        <v>5.3</v>
      </c>
      <c r="R61" s="51">
        <f>L61*$A$3</f>
        <v>0.90718399999999999</v>
      </c>
      <c r="S61" s="51">
        <f>M61*$A$3</f>
        <v>0.63049287999999992</v>
      </c>
      <c r="T61" s="51">
        <f>N61*$A$3</f>
        <v>2.4493967999999998E-2</v>
      </c>
      <c r="U61" s="51">
        <f>O61*$A$3</f>
        <v>1.2700576E-2</v>
      </c>
      <c r="V61" s="32">
        <v>13.2</v>
      </c>
      <c r="W61" s="51">
        <f>V61*$A$3</f>
        <v>5.9874143999999996</v>
      </c>
      <c r="X61" s="44">
        <v>64.099999999999994</v>
      </c>
      <c r="Y61" s="54">
        <v>0.66</v>
      </c>
      <c r="Z61" s="47">
        <f>IF(AA61&gt;0,(AA61*$A$3),"")</f>
        <v>0.17690088000000001</v>
      </c>
      <c r="AA61" s="1">
        <v>0.39</v>
      </c>
      <c r="AB61" s="47">
        <f>IF(AA61&gt;0,(AA61*$A$3),"")</f>
        <v>0.17690088000000001</v>
      </c>
      <c r="AC61" s="1">
        <v>10.5</v>
      </c>
      <c r="AD61" s="1">
        <v>0.41</v>
      </c>
      <c r="AE61" s="6">
        <v>0.21</v>
      </c>
    </row>
    <row r="62" spans="1:31">
      <c r="A62" s="3"/>
      <c r="C62" s="47" t="str">
        <f>IF(B62&gt;0,(B62*$A$3),"")</f>
        <v/>
      </c>
      <c r="D62" s="1">
        <v>700</v>
      </c>
      <c r="E62" s="47">
        <f>IF(D62&gt;0,(D62*$A$3),"")</f>
        <v>317.51440000000002</v>
      </c>
      <c r="H62" s="1">
        <v>1.5</v>
      </c>
      <c r="I62" s="47">
        <f>IF(H62&gt;0,(H62*$A$3),"")</f>
        <v>0.68038799999999999</v>
      </c>
      <c r="J62" s="32">
        <v>9.4700000000000006</v>
      </c>
      <c r="K62" s="25">
        <v>5.9</v>
      </c>
      <c r="L62" s="25">
        <v>2.2000000000000002</v>
      </c>
      <c r="M62" s="25">
        <v>1.45</v>
      </c>
      <c r="N62" s="25">
        <v>5.5E-2</v>
      </c>
      <c r="O62" s="33">
        <v>0.03</v>
      </c>
      <c r="P62" s="51">
        <f>J62*$A$3</f>
        <v>4.2955162400000004</v>
      </c>
      <c r="Q62" s="51">
        <f t="shared" si="1"/>
        <v>5.9</v>
      </c>
      <c r="R62" s="51">
        <f>L62*$A$3</f>
        <v>0.99790240000000008</v>
      </c>
      <c r="S62" s="51">
        <f>M62*$A$3</f>
        <v>0.65770839999999997</v>
      </c>
      <c r="T62" s="51">
        <f>N62*$A$3</f>
        <v>2.4947560000000001E-2</v>
      </c>
      <c r="U62" s="51">
        <f>O62*$A$3</f>
        <v>1.360776E-2</v>
      </c>
      <c r="V62" s="32">
        <v>14.8</v>
      </c>
      <c r="W62" s="51">
        <f>V62*$A$3</f>
        <v>6.7131616000000003</v>
      </c>
      <c r="X62" s="44">
        <v>63.9</v>
      </c>
      <c r="Y62" s="54">
        <v>0.65</v>
      </c>
      <c r="Z62" s="47">
        <f>IF(AA62&gt;0,(AA62*$A$3),"")</f>
        <v>0.17690088000000001</v>
      </c>
      <c r="AA62" s="1">
        <v>0.39</v>
      </c>
      <c r="AB62" s="47">
        <f>IF(AA62&gt;0,(AA62*$A$3),"")</f>
        <v>0.17690088000000001</v>
      </c>
      <c r="AC62" s="1">
        <v>9.8000000000000007</v>
      </c>
      <c r="AD62" s="1">
        <v>0.37</v>
      </c>
      <c r="AE62" s="6">
        <v>0.2</v>
      </c>
    </row>
    <row r="63" spans="1:31">
      <c r="A63" s="3"/>
      <c r="C63" s="47" t="str">
        <f>IF(B63&gt;0,(B63*$A$3),"")</f>
        <v/>
      </c>
      <c r="D63" s="1">
        <v>800</v>
      </c>
      <c r="E63" s="47">
        <f>IF(D63&gt;0,(D63*$A$3),"")</f>
        <v>362.87360000000001</v>
      </c>
      <c r="H63" s="1">
        <v>1.5</v>
      </c>
      <c r="I63" s="47">
        <f>IF(H63&gt;0,(H63*$A$3),"")</f>
        <v>0.68038799999999999</v>
      </c>
      <c r="J63" s="32">
        <v>10.46</v>
      </c>
      <c r="K63" s="25">
        <v>6.5</v>
      </c>
      <c r="L63" s="25">
        <v>2.5</v>
      </c>
      <c r="M63" s="25">
        <v>1.51</v>
      </c>
      <c r="N63" s="25">
        <v>5.6000000000000001E-2</v>
      </c>
      <c r="O63" s="33">
        <v>3.1E-2</v>
      </c>
      <c r="P63" s="51">
        <f>J63*$A$3</f>
        <v>4.7445723200000005</v>
      </c>
      <c r="Q63" s="51">
        <f t="shared" si="1"/>
        <v>6.5</v>
      </c>
      <c r="R63" s="51">
        <f>L63*$A$3</f>
        <v>1.13398</v>
      </c>
      <c r="S63" s="51">
        <f>M63*$A$3</f>
        <v>0.68492392000000002</v>
      </c>
      <c r="T63" s="51">
        <f>N63*$A$3</f>
        <v>2.5401152E-2</v>
      </c>
      <c r="U63" s="51">
        <f>O63*$A$3</f>
        <v>1.4061351999999999E-2</v>
      </c>
      <c r="V63" s="32">
        <v>16.399999999999999</v>
      </c>
      <c r="W63" s="51">
        <f>V63*$A$3</f>
        <v>7.4389087999999992</v>
      </c>
      <c r="X63" s="44">
        <v>63.9</v>
      </c>
      <c r="Y63" s="54">
        <v>0.65</v>
      </c>
      <c r="Z63" s="47">
        <f>IF(AA63&gt;0,(AA63*$A$3),"")</f>
        <v>0.17690088000000001</v>
      </c>
      <c r="AA63" s="1">
        <v>0.39</v>
      </c>
      <c r="AB63" s="47">
        <f>IF(AA63&gt;0,(AA63*$A$3),"")</f>
        <v>0.17690088000000001</v>
      </c>
      <c r="AC63" s="1">
        <v>9.1999999999999993</v>
      </c>
      <c r="AD63" s="1">
        <v>0.34</v>
      </c>
      <c r="AE63" s="6">
        <v>0.19</v>
      </c>
    </row>
    <row r="64" spans="1:31">
      <c r="A64" s="3"/>
      <c r="C64" s="47" t="str">
        <f>IF(B64&gt;0,(B64*$A$3),"")</f>
        <v/>
      </c>
      <c r="D64" s="1">
        <v>400</v>
      </c>
      <c r="E64" s="47">
        <f>IF(D64&gt;0,(D64*$A$3),"")</f>
        <v>181.43680000000001</v>
      </c>
      <c r="H64" s="1">
        <v>2</v>
      </c>
      <c r="I64" s="47">
        <f>IF(H64&gt;0,(H64*$A$3),"")</f>
        <v>0.90718399999999999</v>
      </c>
      <c r="J64" s="32">
        <v>6.76</v>
      </c>
      <c r="K64" s="25">
        <v>3.9</v>
      </c>
      <c r="L64" s="25">
        <v>2.1</v>
      </c>
      <c r="M64" s="25">
        <v>1.46</v>
      </c>
      <c r="N64" s="25">
        <v>6.6000000000000003E-2</v>
      </c>
      <c r="O64" s="33">
        <v>3.1E-2</v>
      </c>
      <c r="P64" s="51">
        <f>J64*$A$3</f>
        <v>3.0662819199999998</v>
      </c>
      <c r="Q64" s="51">
        <f t="shared" si="1"/>
        <v>3.9</v>
      </c>
      <c r="R64" s="51">
        <f>L64*$A$3</f>
        <v>0.95254320000000003</v>
      </c>
      <c r="S64" s="51">
        <f>M64*$A$3</f>
        <v>0.66224432</v>
      </c>
      <c r="T64" s="51">
        <f>N64*$A$3</f>
        <v>2.9937072000000002E-2</v>
      </c>
      <c r="U64" s="51">
        <f>O64*$A$3</f>
        <v>1.4061351999999999E-2</v>
      </c>
      <c r="V64" s="32">
        <v>9.8000000000000007</v>
      </c>
      <c r="W64" s="51">
        <f>V64*$A$3</f>
        <v>4.4452015999999999</v>
      </c>
      <c r="X64" s="44">
        <v>69.2</v>
      </c>
      <c r="Y64" s="54">
        <v>0.73</v>
      </c>
      <c r="Z64" s="47">
        <f>IF(AA64&gt;0,(AA64*$A$3),"")</f>
        <v>0.20865232</v>
      </c>
      <c r="AA64" s="1">
        <v>0.46</v>
      </c>
      <c r="AB64" s="47">
        <f>IF(AA64&gt;0,(AA64*$A$3),"")</f>
        <v>0.20865232</v>
      </c>
      <c r="AC64" s="1">
        <v>14.9</v>
      </c>
      <c r="AD64" s="1">
        <v>0.68</v>
      </c>
      <c r="AE64" s="6">
        <v>0.32</v>
      </c>
    </row>
    <row r="65" spans="1:31">
      <c r="A65" s="3"/>
      <c r="C65" s="47" t="str">
        <f>IF(B65&gt;0,(B65*$A$3),"")</f>
        <v/>
      </c>
      <c r="D65" s="1">
        <v>500</v>
      </c>
      <c r="E65" s="47">
        <f>IF(D65&gt;0,(D65*$A$3),"")</f>
        <v>226.79599999999999</v>
      </c>
      <c r="H65" s="1">
        <v>2</v>
      </c>
      <c r="I65" s="47">
        <f>IF(H65&gt;0,(H65*$A$3),"")</f>
        <v>0.90718399999999999</v>
      </c>
      <c r="J65" s="32">
        <v>7.99</v>
      </c>
      <c r="K65" s="25">
        <v>4.5999999999999996</v>
      </c>
      <c r="L65" s="25">
        <v>2.4</v>
      </c>
      <c r="M65" s="25">
        <v>1.51</v>
      </c>
      <c r="N65" s="25">
        <v>6.6000000000000003E-2</v>
      </c>
      <c r="O65" s="33">
        <v>3.2000000000000001E-2</v>
      </c>
      <c r="P65" s="51">
        <f>J65*$A$3</f>
        <v>3.62420008</v>
      </c>
      <c r="Q65" s="51">
        <f t="shared" si="1"/>
        <v>4.5999999999999996</v>
      </c>
      <c r="R65" s="51">
        <f>L65*$A$3</f>
        <v>1.0886207999999999</v>
      </c>
      <c r="S65" s="51">
        <f>M65*$A$3</f>
        <v>0.68492392000000002</v>
      </c>
      <c r="T65" s="51">
        <f>N65*$A$3</f>
        <v>2.9937072000000002E-2</v>
      </c>
      <c r="U65" s="51">
        <f>O65*$A$3</f>
        <v>1.4514944E-2</v>
      </c>
      <c r="V65" s="32">
        <v>11.6</v>
      </c>
      <c r="W65" s="51">
        <f>V65*$A$3</f>
        <v>5.2616671999999998</v>
      </c>
      <c r="X65" s="44">
        <v>69.099999999999994</v>
      </c>
      <c r="Y65" s="54">
        <v>0.73</v>
      </c>
      <c r="Z65" s="47">
        <f>IF(AA65&gt;0,(AA65*$A$3),"")</f>
        <v>0.20865232</v>
      </c>
      <c r="AA65" s="1">
        <v>0.46</v>
      </c>
      <c r="AB65" s="47">
        <f>IF(AA65&gt;0,(AA65*$A$3),"")</f>
        <v>0.20865232</v>
      </c>
      <c r="AC65" s="1">
        <v>13.1</v>
      </c>
      <c r="AD65" s="1">
        <v>0.56999999999999995</v>
      </c>
      <c r="AE65" s="6">
        <v>0.28000000000000003</v>
      </c>
    </row>
    <row r="66" spans="1:31">
      <c r="A66" s="3"/>
      <c r="C66" s="47" t="str">
        <f>IF(B66&gt;0,(B66*$A$3),"")</f>
        <v/>
      </c>
      <c r="D66" s="1">
        <v>600</v>
      </c>
      <c r="E66" s="47">
        <f>IF(D66&gt;0,(D66*$A$3),"")</f>
        <v>272.15519999999998</v>
      </c>
      <c r="H66" s="1">
        <v>2</v>
      </c>
      <c r="I66" s="47">
        <f>IF(H66&gt;0,(H66*$A$3),"")</f>
        <v>0.90718399999999999</v>
      </c>
      <c r="J66" s="32">
        <v>9.17</v>
      </c>
      <c r="K66" s="25">
        <v>5.3</v>
      </c>
      <c r="L66" s="25">
        <v>2.7</v>
      </c>
      <c r="M66" s="25">
        <v>1.57</v>
      </c>
      <c r="N66" s="25">
        <v>6.6000000000000003E-2</v>
      </c>
      <c r="O66" s="33">
        <v>3.3000000000000002E-2</v>
      </c>
      <c r="P66" s="51">
        <f>J66*$A$3</f>
        <v>4.1594386400000003</v>
      </c>
      <c r="Q66" s="51">
        <f t="shared" si="1"/>
        <v>5.3</v>
      </c>
      <c r="R66" s="51">
        <f>L66*$A$3</f>
        <v>1.2246984000000001</v>
      </c>
      <c r="S66" s="51">
        <f>M66*$A$3</f>
        <v>0.71213944000000007</v>
      </c>
      <c r="T66" s="51">
        <f>N66*$A$3</f>
        <v>2.9937072000000002E-2</v>
      </c>
      <c r="U66" s="51">
        <f>O66*$A$3</f>
        <v>1.4968536000000001E-2</v>
      </c>
      <c r="V66" s="32">
        <v>13.2</v>
      </c>
      <c r="W66" s="51">
        <f>V66*$A$3</f>
        <v>5.9874143999999996</v>
      </c>
      <c r="X66" s="44">
        <v>69.2</v>
      </c>
      <c r="Y66" s="54">
        <v>0.73</v>
      </c>
      <c r="Z66" s="47">
        <f>IF(AA66&gt;0,(AA66*$A$3),"")</f>
        <v>0.20865232</v>
      </c>
      <c r="AA66" s="1">
        <v>0.46</v>
      </c>
      <c r="AB66" s="47">
        <f>IF(AA66&gt;0,(AA66*$A$3),"")</f>
        <v>0.20865232</v>
      </c>
      <c r="AC66" s="1">
        <v>11.8</v>
      </c>
      <c r="AD66" s="1">
        <v>0.5</v>
      </c>
      <c r="AE66" s="6">
        <v>0.25</v>
      </c>
    </row>
    <row r="67" spans="1:31">
      <c r="A67" s="3"/>
      <c r="C67" s="47" t="str">
        <f>IF(B67&gt;0,(B67*$A$3),"")</f>
        <v/>
      </c>
      <c r="D67" s="1">
        <v>700</v>
      </c>
      <c r="E67" s="47">
        <f>IF(D67&gt;0,(D67*$A$3),"")</f>
        <v>317.51440000000002</v>
      </c>
      <c r="H67" s="1">
        <v>2</v>
      </c>
      <c r="I67" s="47">
        <f>IF(H67&gt;0,(H67*$A$3),"")</f>
        <v>0.90718399999999999</v>
      </c>
      <c r="J67" s="32">
        <v>10.27</v>
      </c>
      <c r="K67" s="25">
        <v>5.9</v>
      </c>
      <c r="L67" s="25">
        <v>3.1</v>
      </c>
      <c r="M67" s="25">
        <v>1.62</v>
      </c>
      <c r="N67" s="25">
        <v>6.5000000000000002E-2</v>
      </c>
      <c r="O67" s="33">
        <v>3.4000000000000002E-2</v>
      </c>
      <c r="P67" s="51">
        <f>J67*$A$3</f>
        <v>4.6583898399999999</v>
      </c>
      <c r="Q67" s="51">
        <f t="shared" si="1"/>
        <v>5.9</v>
      </c>
      <c r="R67" s="51">
        <f>L67*$A$3</f>
        <v>1.4061352</v>
      </c>
      <c r="S67" s="51">
        <f>M67*$A$3</f>
        <v>0.73481904000000009</v>
      </c>
      <c r="T67" s="51">
        <f>N67*$A$3</f>
        <v>2.9483479999999999E-2</v>
      </c>
      <c r="U67" s="51">
        <f>O67*$A$3</f>
        <v>1.5422128E-2</v>
      </c>
      <c r="V67" s="32">
        <v>14.9</v>
      </c>
      <c r="W67" s="51">
        <f>V67*$A$3</f>
        <v>6.7585208000000003</v>
      </c>
      <c r="X67" s="44">
        <v>69.099999999999994</v>
      </c>
      <c r="Y67" s="54">
        <v>0.73</v>
      </c>
      <c r="Z67" s="47">
        <f>IF(AA67&gt;0,(AA67*$A$3),"")</f>
        <v>0.20865232</v>
      </c>
      <c r="AA67" s="1">
        <v>0.46</v>
      </c>
      <c r="AB67" s="47">
        <f>IF(AA67&gt;0,(AA67*$A$3),"")</f>
        <v>0.20865232</v>
      </c>
      <c r="AC67" s="1">
        <v>10.9</v>
      </c>
      <c r="AD67" s="1">
        <v>0.44</v>
      </c>
      <c r="AE67" s="6">
        <v>0.23</v>
      </c>
    </row>
    <row r="68" spans="1:31">
      <c r="A68" s="13"/>
      <c r="B68" s="8"/>
      <c r="C68" s="47" t="str">
        <f>IF(B68&gt;0,(B68*$A$3),"")</f>
        <v/>
      </c>
      <c r="D68" s="8">
        <v>800</v>
      </c>
      <c r="E68" s="47">
        <f>IF(D68&gt;0,(D68*$A$3),"")</f>
        <v>362.87360000000001</v>
      </c>
      <c r="F68" s="8"/>
      <c r="G68" s="8"/>
      <c r="H68" s="1">
        <v>2</v>
      </c>
      <c r="I68" s="47">
        <f>IF(H68&gt;0,(H68*$A$3),"")</f>
        <v>0.90718399999999999</v>
      </c>
      <c r="J68" s="34">
        <v>11.34</v>
      </c>
      <c r="K68" s="35">
        <v>6.5</v>
      </c>
      <c r="L68" s="35">
        <v>3.4</v>
      </c>
      <c r="M68" s="35">
        <v>1.67</v>
      </c>
      <c r="N68" s="35">
        <v>6.5000000000000002E-2</v>
      </c>
      <c r="O68" s="36">
        <v>3.5000000000000003E-2</v>
      </c>
      <c r="P68" s="51">
        <f>J68*$A$3</f>
        <v>5.1437332800000002</v>
      </c>
      <c r="Q68" s="51">
        <f t="shared" si="1"/>
        <v>6.5</v>
      </c>
      <c r="R68" s="51">
        <f>L68*$A$3</f>
        <v>1.5422127999999999</v>
      </c>
      <c r="S68" s="51">
        <f>M68*$A$3</f>
        <v>0.75749864</v>
      </c>
      <c r="T68" s="51">
        <f>N68*$A$3</f>
        <v>2.9483479999999999E-2</v>
      </c>
      <c r="U68" s="51">
        <f>O68*$A$3</f>
        <v>1.5875720000000003E-2</v>
      </c>
      <c r="V68" s="34">
        <v>16.399999999999999</v>
      </c>
      <c r="W68" s="51">
        <f>V68*$A$3</f>
        <v>7.4389087999999992</v>
      </c>
      <c r="X68" s="46">
        <v>69</v>
      </c>
      <c r="Y68" s="56">
        <v>0.73</v>
      </c>
      <c r="Z68" s="47">
        <f>IF(AA68&gt;0,(AA68*$A$3),"")</f>
        <v>0.2041164</v>
      </c>
      <c r="AA68" s="8">
        <v>0.45</v>
      </c>
      <c r="AB68" s="47">
        <f>IF(AA68&gt;0,(AA68*$A$3),"")</f>
        <v>0.2041164</v>
      </c>
      <c r="AC68" s="8">
        <v>10.1</v>
      </c>
      <c r="AD68" s="8">
        <v>0.4</v>
      </c>
      <c r="AE68" s="9">
        <v>0.21</v>
      </c>
    </row>
    <row r="69" spans="1:31">
      <c r="C69" s="47" t="str">
        <f>IF(B69&gt;0,(B69*$A$3),"")</f>
        <v/>
      </c>
      <c r="E69" s="47" t="str">
        <f>IF(D69&gt;0,(D69*$A$3),"")</f>
        <v/>
      </c>
      <c r="I69" s="47" t="str">
        <f>IF(H69&gt;0,(H69*$A$3),"")</f>
        <v/>
      </c>
      <c r="P69" s="51">
        <f>J69*$A$3</f>
        <v>0</v>
      </c>
      <c r="Q69" s="51">
        <f t="shared" si="1"/>
        <v>0</v>
      </c>
      <c r="R69" s="51">
        <f>L69*$A$3</f>
        <v>0</v>
      </c>
      <c r="S69" s="51">
        <f>M69*$A$3</f>
        <v>0</v>
      </c>
      <c r="T69" s="51">
        <f>N69*$A$3</f>
        <v>0</v>
      </c>
      <c r="U69" s="51">
        <f>O69*$A$3</f>
        <v>0</v>
      </c>
    </row>
    <row r="70" spans="1:31">
      <c r="A70" s="11"/>
      <c r="B70" s="10"/>
      <c r="C70" s="47" t="str">
        <f>IF(B70&gt;0,(B70*$A$3),"")</f>
        <v/>
      </c>
      <c r="D70" s="10"/>
      <c r="E70" s="47" t="str">
        <f>IF(D70&gt;0,(D70*$A$3),"")</f>
        <v/>
      </c>
      <c r="F70" s="10"/>
      <c r="G70" s="10"/>
      <c r="H70" s="10"/>
      <c r="I70" s="47" t="str">
        <f>IF(H70&gt;0,(H70*$A$3),"")</f>
        <v/>
      </c>
      <c r="J70" s="26" t="s">
        <v>10</v>
      </c>
      <c r="K70" s="27"/>
      <c r="L70" s="27"/>
      <c r="M70" s="27"/>
      <c r="N70" s="27"/>
      <c r="O70" s="28"/>
      <c r="P70" s="51" t="e">
        <f>J70*$A$3</f>
        <v>#VALUE!</v>
      </c>
      <c r="Q70" s="51">
        <f t="shared" si="1"/>
        <v>0</v>
      </c>
      <c r="R70" s="51">
        <f>L70*$A$3</f>
        <v>0</v>
      </c>
      <c r="S70" s="51">
        <f>M70*$A$3</f>
        <v>0</v>
      </c>
      <c r="T70" s="51">
        <f>N70*$A$3</f>
        <v>0</v>
      </c>
      <c r="U70" s="51">
        <f>O70*$A$3</f>
        <v>0</v>
      </c>
      <c r="V70" s="21" t="s">
        <v>21</v>
      </c>
      <c r="W70" s="21"/>
      <c r="X70" s="21"/>
      <c r="Y70" s="21"/>
      <c r="Z70" s="21"/>
      <c r="AA70" s="21"/>
      <c r="AB70" s="21"/>
      <c r="AC70" s="21"/>
      <c r="AD70" s="21"/>
      <c r="AE70" s="22"/>
    </row>
    <row r="71" spans="1:31" ht="26">
      <c r="A71" s="12" t="s">
        <v>40</v>
      </c>
      <c r="B71" s="2" t="s">
        <v>27</v>
      </c>
      <c r="C71" s="47" t="s">
        <v>132</v>
      </c>
      <c r="D71" s="2" t="s">
        <v>31</v>
      </c>
      <c r="E71" s="49" t="s">
        <v>128</v>
      </c>
      <c r="F71" s="2"/>
      <c r="G71" s="2"/>
      <c r="H71" s="2" t="s">
        <v>30</v>
      </c>
      <c r="I71" s="45" t="s">
        <v>133</v>
      </c>
      <c r="J71" s="29" t="s">
        <v>11</v>
      </c>
      <c r="K71" s="30" t="s">
        <v>23</v>
      </c>
      <c r="L71" s="30" t="s">
        <v>24</v>
      </c>
      <c r="M71" s="30" t="s">
        <v>12</v>
      </c>
      <c r="N71" s="30" t="s">
        <v>13</v>
      </c>
      <c r="O71" s="31" t="s">
        <v>14</v>
      </c>
      <c r="P71" s="48" t="s">
        <v>130</v>
      </c>
      <c r="Q71" s="49" t="s">
        <v>23</v>
      </c>
      <c r="R71" s="49" t="s">
        <v>129</v>
      </c>
      <c r="S71" s="49" t="s">
        <v>117</v>
      </c>
      <c r="T71" s="49" t="s">
        <v>118</v>
      </c>
      <c r="U71" s="50" t="s">
        <v>119</v>
      </c>
      <c r="V71" s="29" t="s">
        <v>15</v>
      </c>
      <c r="W71" s="48" t="s">
        <v>120</v>
      </c>
      <c r="X71" s="45" t="s">
        <v>16</v>
      </c>
      <c r="Y71" s="55" t="s">
        <v>17</v>
      </c>
      <c r="Z71" s="49" t="s">
        <v>126</v>
      </c>
      <c r="AA71" s="2" t="s">
        <v>24</v>
      </c>
      <c r="AB71" s="49" t="s">
        <v>127</v>
      </c>
      <c r="AC71" s="2" t="s">
        <v>18</v>
      </c>
      <c r="AD71" s="2" t="s">
        <v>19</v>
      </c>
      <c r="AE71" s="4" t="s">
        <v>20</v>
      </c>
    </row>
    <row r="72" spans="1:31">
      <c r="A72" s="3"/>
      <c r="B72" s="1">
        <v>1200</v>
      </c>
      <c r="C72" s="47">
        <f>IF(B72&gt;0,(B72*$A$3),"")</f>
        <v>544.31039999999996</v>
      </c>
      <c r="D72" s="1">
        <v>400</v>
      </c>
      <c r="E72" s="47">
        <f>IF(D72&gt;0,(D72*$A$3),"")</f>
        <v>181.43680000000001</v>
      </c>
      <c r="H72" s="1">
        <v>1.5</v>
      </c>
      <c r="I72" s="47">
        <f>IF(H72&gt;0,(H72*$A$3),"")</f>
        <v>0.68038799999999999</v>
      </c>
      <c r="J72" s="32">
        <v>6.26</v>
      </c>
      <c r="K72" s="25">
        <v>3.9</v>
      </c>
      <c r="L72" s="25">
        <v>1.6</v>
      </c>
      <c r="M72" s="25">
        <v>1.25</v>
      </c>
      <c r="N72" s="25">
        <v>5.1999999999999998E-2</v>
      </c>
      <c r="O72" s="33">
        <v>2.5000000000000001E-2</v>
      </c>
      <c r="P72" s="51">
        <f>J72*$A$3</f>
        <v>2.83948592</v>
      </c>
      <c r="Q72" s="51">
        <f t="shared" si="1"/>
        <v>3.9</v>
      </c>
      <c r="R72" s="51">
        <f>L72*$A$3</f>
        <v>0.72574720000000004</v>
      </c>
      <c r="S72" s="51">
        <f>M72*$A$3</f>
        <v>0.56698999999999999</v>
      </c>
      <c r="T72" s="51">
        <f>N72*$A$3</f>
        <v>2.3586784E-2</v>
      </c>
      <c r="U72" s="51">
        <f>O72*$A$3</f>
        <v>1.1339800000000001E-2</v>
      </c>
      <c r="V72" s="25">
        <v>10</v>
      </c>
      <c r="W72" s="47">
        <f>V72*$A$3</f>
        <v>4.53592</v>
      </c>
      <c r="X72" s="44">
        <v>62.3</v>
      </c>
      <c r="Y72" s="54">
        <v>0.65</v>
      </c>
      <c r="Z72" s="47">
        <f>IF(Y72&gt;0,(Y72*$A$3),"")</f>
        <v>0.29483480000000001</v>
      </c>
      <c r="AA72" s="1">
        <v>0.39</v>
      </c>
      <c r="AB72" s="47">
        <f>IF(AA72&gt;0,(AA72*$A$3),"")</f>
        <v>0.17690088000000001</v>
      </c>
      <c r="AC72" s="1">
        <v>12.4</v>
      </c>
      <c r="AD72" s="1">
        <v>0.52</v>
      </c>
      <c r="AE72" s="6">
        <v>0.25</v>
      </c>
    </row>
    <row r="73" spans="1:31">
      <c r="A73" s="3"/>
      <c r="C73" s="47" t="str">
        <f>IF(B73&gt;0,(B73*$A$3),"")</f>
        <v/>
      </c>
      <c r="D73" s="1">
        <v>500</v>
      </c>
      <c r="E73" s="47">
        <f>IF(D73&gt;0,(D73*$A$3),"")</f>
        <v>226.79599999999999</v>
      </c>
      <c r="H73" s="1">
        <v>1.5</v>
      </c>
      <c r="I73" s="47">
        <f>IF(H73&gt;0,(H73*$A$3),"")</f>
        <v>0.68038799999999999</v>
      </c>
      <c r="J73" s="32">
        <v>7.4</v>
      </c>
      <c r="K73" s="25">
        <v>4.5999999999999996</v>
      </c>
      <c r="L73" s="25">
        <v>1.9</v>
      </c>
      <c r="M73" s="25">
        <v>1.32</v>
      </c>
      <c r="N73" s="25">
        <v>5.2999999999999999E-2</v>
      </c>
      <c r="O73" s="33">
        <v>2.7E-2</v>
      </c>
      <c r="P73" s="51">
        <f>J73*$A$3</f>
        <v>3.3565808000000001</v>
      </c>
      <c r="Q73" s="51">
        <f t="shared" si="1"/>
        <v>4.5999999999999996</v>
      </c>
      <c r="R73" s="51">
        <f>L73*$A$3</f>
        <v>0.86182479999999995</v>
      </c>
      <c r="S73" s="51">
        <f>M73*$A$3</f>
        <v>0.59874144000000007</v>
      </c>
      <c r="T73" s="51">
        <f>N73*$A$3</f>
        <v>2.4040375999999999E-2</v>
      </c>
      <c r="U73" s="51">
        <f>O73*$A$3</f>
        <v>1.2246983999999999E-2</v>
      </c>
      <c r="V73" s="25">
        <v>11.9</v>
      </c>
      <c r="W73" s="47">
        <f>V73*$A$3</f>
        <v>5.3977447999999999</v>
      </c>
      <c r="X73" s="44">
        <v>62.3</v>
      </c>
      <c r="Y73" s="54">
        <v>0.65</v>
      </c>
      <c r="Z73" s="47">
        <f>IF(Y73&gt;0,(Y73*$A$3),"")</f>
        <v>0.29483480000000001</v>
      </c>
      <c r="AA73" s="1">
        <v>0.39</v>
      </c>
      <c r="AB73" s="47">
        <f>IF(AA73&gt;0,(AA73*$A$3),"")</f>
        <v>0.17690088000000001</v>
      </c>
      <c r="AC73" s="1">
        <v>11.1</v>
      </c>
      <c r="AD73" s="1">
        <v>0.44</v>
      </c>
      <c r="AE73" s="6">
        <v>0.22</v>
      </c>
    </row>
    <row r="74" spans="1:31">
      <c r="A74" s="3"/>
      <c r="C74" s="47" t="str">
        <f>IF(B74&gt;0,(B74*$A$3),"")</f>
        <v/>
      </c>
      <c r="D74" s="1">
        <v>600</v>
      </c>
      <c r="E74" s="47">
        <f>IF(D74&gt;0,(D74*$A$3),"")</f>
        <v>272.15519999999998</v>
      </c>
      <c r="H74" s="1">
        <v>1.5</v>
      </c>
      <c r="I74" s="47">
        <f>IF(H74&gt;0,(H74*$A$3),"")</f>
        <v>0.68038799999999999</v>
      </c>
      <c r="J74" s="32">
        <v>8.5</v>
      </c>
      <c r="K74" s="25">
        <v>5.3</v>
      </c>
      <c r="L74" s="25">
        <v>2.1</v>
      </c>
      <c r="M74" s="25">
        <v>1.38</v>
      </c>
      <c r="N74" s="25">
        <v>5.2999999999999999E-2</v>
      </c>
      <c r="O74" s="33">
        <v>2.8000000000000001E-2</v>
      </c>
      <c r="P74" s="51">
        <f>J74*$A$3</f>
        <v>3.8555320000000002</v>
      </c>
      <c r="Q74" s="51">
        <f t="shared" si="1"/>
        <v>5.3</v>
      </c>
      <c r="R74" s="51">
        <f>L74*$A$3</f>
        <v>0.95254320000000003</v>
      </c>
      <c r="S74" s="51">
        <f>M74*$A$3</f>
        <v>0.6259569599999999</v>
      </c>
      <c r="T74" s="51">
        <f>N74*$A$3</f>
        <v>2.4040375999999999E-2</v>
      </c>
      <c r="U74" s="51">
        <f>O74*$A$3</f>
        <v>1.2700576E-2</v>
      </c>
      <c r="V74" s="25">
        <v>13.6</v>
      </c>
      <c r="W74" s="47">
        <f>V74*$A$3</f>
        <v>6.1688511999999998</v>
      </c>
      <c r="X74" s="44">
        <v>62.4</v>
      </c>
      <c r="Y74" s="54">
        <v>0.65</v>
      </c>
      <c r="Z74" s="47">
        <f>IF(Y74&gt;0,(Y74*$A$3),"")</f>
        <v>0.29483480000000001</v>
      </c>
      <c r="AA74" s="1">
        <v>0.39</v>
      </c>
      <c r="AB74" s="47">
        <f>IF(AA74&gt;0,(AA74*$A$3),"")</f>
        <v>0.17690088000000001</v>
      </c>
      <c r="AC74" s="1">
        <v>10.1</v>
      </c>
      <c r="AD74" s="1">
        <v>0.39</v>
      </c>
      <c r="AE74" s="6">
        <v>0.2</v>
      </c>
    </row>
    <row r="75" spans="1:31">
      <c r="A75" s="3"/>
      <c r="C75" s="47" t="str">
        <f>IF(B75&gt;0,(B75*$A$3),"")</f>
        <v/>
      </c>
      <c r="D75" s="1">
        <v>700</v>
      </c>
      <c r="E75" s="47">
        <f>IF(D75&gt;0,(D75*$A$3),"")</f>
        <v>317.51440000000002</v>
      </c>
      <c r="H75" s="1">
        <v>1.5</v>
      </c>
      <c r="I75" s="47">
        <f>IF(H75&gt;0,(H75*$A$3),"")</f>
        <v>0.68038799999999999</v>
      </c>
      <c r="J75" s="32">
        <v>9.51</v>
      </c>
      <c r="K75" s="25">
        <v>5.9</v>
      </c>
      <c r="L75" s="25">
        <v>2.4</v>
      </c>
      <c r="M75" s="25">
        <v>1.44</v>
      </c>
      <c r="N75" s="25">
        <v>5.3999999999999999E-2</v>
      </c>
      <c r="O75" s="33">
        <v>2.9000000000000001E-2</v>
      </c>
      <c r="P75" s="51">
        <f>J75*$A$3</f>
        <v>4.3136599200000001</v>
      </c>
      <c r="Q75" s="51">
        <f t="shared" si="1"/>
        <v>5.9</v>
      </c>
      <c r="R75" s="51">
        <f>L75*$A$3</f>
        <v>1.0886207999999999</v>
      </c>
      <c r="S75" s="51">
        <f>M75*$A$3</f>
        <v>0.65317247999999994</v>
      </c>
      <c r="T75" s="51">
        <f>N75*$A$3</f>
        <v>2.4493967999999998E-2</v>
      </c>
      <c r="U75" s="51">
        <f>O75*$A$3</f>
        <v>1.3154168000000001E-2</v>
      </c>
      <c r="V75" s="25">
        <v>15.3</v>
      </c>
      <c r="W75" s="47">
        <f>V75*$A$3</f>
        <v>6.9399576000000005</v>
      </c>
      <c r="X75" s="44">
        <v>62.2</v>
      </c>
      <c r="Y75" s="54">
        <v>0.65</v>
      </c>
      <c r="Z75" s="47">
        <f>IF(Y75&gt;0,(Y75*$A$3),"")</f>
        <v>0.29483480000000001</v>
      </c>
      <c r="AA75" s="1">
        <v>0.38</v>
      </c>
      <c r="AB75" s="47">
        <f>IF(AA75&gt;0,(AA75*$A$3),"")</f>
        <v>0.17236496000000001</v>
      </c>
      <c r="AC75" s="1">
        <v>9.4</v>
      </c>
      <c r="AD75" s="1">
        <v>0.35</v>
      </c>
      <c r="AE75" s="6">
        <v>0.19</v>
      </c>
    </row>
    <row r="76" spans="1:31">
      <c r="A76" s="3"/>
      <c r="C76" s="47" t="str">
        <f>IF(B76&gt;0,(B76*$A$3),"")</f>
        <v/>
      </c>
      <c r="D76" s="1">
        <v>800</v>
      </c>
      <c r="E76" s="47">
        <f>IF(D76&gt;0,(D76*$A$3),"")</f>
        <v>362.87360000000001</v>
      </c>
      <c r="H76" s="1">
        <v>1.5</v>
      </c>
      <c r="I76" s="47">
        <f>IF(H76&gt;0,(H76*$A$3),"")</f>
        <v>0.68038799999999999</v>
      </c>
      <c r="J76" s="32">
        <v>10.5</v>
      </c>
      <c r="K76" s="25">
        <v>6.5</v>
      </c>
      <c r="L76" s="25">
        <v>2.6</v>
      </c>
      <c r="M76" s="25">
        <v>1.5</v>
      </c>
      <c r="N76" s="25">
        <v>5.3999999999999999E-2</v>
      </c>
      <c r="O76" s="33">
        <v>0.03</v>
      </c>
      <c r="P76" s="51">
        <f>J76*$A$3</f>
        <v>4.7627160000000002</v>
      </c>
      <c r="Q76" s="51">
        <f t="shared" si="1"/>
        <v>6.5</v>
      </c>
      <c r="R76" s="51">
        <f>L76*$A$3</f>
        <v>1.1793392</v>
      </c>
      <c r="S76" s="51">
        <f>M76*$A$3</f>
        <v>0.68038799999999999</v>
      </c>
      <c r="T76" s="51">
        <f>N76*$A$3</f>
        <v>2.4493967999999998E-2</v>
      </c>
      <c r="U76" s="51">
        <f>O76*$A$3</f>
        <v>1.360776E-2</v>
      </c>
      <c r="V76" s="25">
        <v>16.899999999999999</v>
      </c>
      <c r="W76" s="47">
        <f>V76*$A$3</f>
        <v>7.6657047999999994</v>
      </c>
      <c r="X76" s="44">
        <v>62.2</v>
      </c>
      <c r="Y76" s="54">
        <v>0.65</v>
      </c>
      <c r="Z76" s="47">
        <f>IF(Y76&gt;0,(Y76*$A$3),"")</f>
        <v>0.29483480000000001</v>
      </c>
      <c r="AA76" s="1">
        <v>0.38</v>
      </c>
      <c r="AB76" s="47">
        <f>IF(AA76&gt;0,(AA76*$A$3),"")</f>
        <v>0.17236496000000001</v>
      </c>
      <c r="AC76" s="1">
        <v>8.9</v>
      </c>
      <c r="AD76" s="1">
        <v>0.32</v>
      </c>
      <c r="AE76" s="6">
        <v>0.18</v>
      </c>
    </row>
    <row r="77" spans="1:31">
      <c r="A77" s="3"/>
      <c r="C77" s="47" t="str">
        <f>IF(B77&gt;0,(B77*$A$3),"")</f>
        <v/>
      </c>
      <c r="D77" s="1">
        <v>400</v>
      </c>
      <c r="E77" s="47">
        <f>IF(D77&gt;0,(D77*$A$3),"")</f>
        <v>181.43680000000001</v>
      </c>
      <c r="H77" s="1">
        <v>2</v>
      </c>
      <c r="I77" s="47">
        <f>IF(H77&gt;0,(H77*$A$3),"")</f>
        <v>0.90718399999999999</v>
      </c>
      <c r="J77" s="32">
        <v>6.81</v>
      </c>
      <c r="K77" s="25">
        <v>3.9</v>
      </c>
      <c r="L77" s="25">
        <v>2.2000000000000002</v>
      </c>
      <c r="M77" s="25">
        <v>1.46</v>
      </c>
      <c r="N77" s="25">
        <v>6.5000000000000002E-2</v>
      </c>
      <c r="O77" s="33">
        <v>3.1E-2</v>
      </c>
      <c r="P77" s="51">
        <f>J77*$A$3</f>
        <v>3.0889615199999998</v>
      </c>
      <c r="Q77" s="51">
        <f t="shared" si="1"/>
        <v>3.9</v>
      </c>
      <c r="R77" s="51">
        <f>L77*$A$3</f>
        <v>0.99790240000000008</v>
      </c>
      <c r="S77" s="51">
        <f>M77*$A$3</f>
        <v>0.66224432</v>
      </c>
      <c r="T77" s="51">
        <f>N77*$A$3</f>
        <v>2.9483479999999999E-2</v>
      </c>
      <c r="U77" s="51">
        <f>O77*$A$3</f>
        <v>1.4061351999999999E-2</v>
      </c>
      <c r="V77" s="25">
        <v>10.1</v>
      </c>
      <c r="W77" s="47">
        <f>V77*$A$3</f>
        <v>4.5812792</v>
      </c>
      <c r="X77" s="44">
        <v>67.5</v>
      </c>
      <c r="Y77" s="54">
        <v>0.73</v>
      </c>
      <c r="Z77" s="47">
        <f>IF(Y77&gt;0,(Y77*$A$3),"")</f>
        <v>0.33112216</v>
      </c>
      <c r="AA77" s="1">
        <v>0.45</v>
      </c>
      <c r="AB77" s="47">
        <f>IF(AA77&gt;0,(AA77*$A$3),"")</f>
        <v>0.2041164</v>
      </c>
      <c r="AC77" s="1">
        <v>14.5</v>
      </c>
      <c r="AD77" s="1">
        <v>0.65</v>
      </c>
      <c r="AE77" s="6">
        <v>0.3</v>
      </c>
    </row>
    <row r="78" spans="1:31">
      <c r="A78" s="3"/>
      <c r="C78" s="47" t="str">
        <f>IF(B78&gt;0,(B78*$A$3),"")</f>
        <v/>
      </c>
      <c r="D78" s="1">
        <v>500</v>
      </c>
      <c r="E78" s="47">
        <f>IF(D78&gt;0,(D78*$A$3),"")</f>
        <v>226.79599999999999</v>
      </c>
      <c r="H78" s="1">
        <v>2</v>
      </c>
      <c r="I78" s="47">
        <f>IF(H78&gt;0,(H78*$A$3),"")</f>
        <v>0.90718399999999999</v>
      </c>
      <c r="J78" s="32">
        <v>8.0399999999999991</v>
      </c>
      <c r="K78" s="25">
        <v>4.5999999999999996</v>
      </c>
      <c r="L78" s="25">
        <v>2.5</v>
      </c>
      <c r="M78" s="25">
        <v>1.51</v>
      </c>
      <c r="N78" s="25">
        <v>6.4000000000000001E-2</v>
      </c>
      <c r="O78" s="33">
        <v>3.1E-2</v>
      </c>
      <c r="P78" s="51">
        <f>J78*$A$3</f>
        <v>3.6468796799999996</v>
      </c>
      <c r="Q78" s="51">
        <f t="shared" si="1"/>
        <v>4.5999999999999996</v>
      </c>
      <c r="R78" s="51">
        <f>L78*$A$3</f>
        <v>1.13398</v>
      </c>
      <c r="S78" s="51">
        <f>M78*$A$3</f>
        <v>0.68492392000000002</v>
      </c>
      <c r="T78" s="51">
        <f>N78*$A$3</f>
        <v>2.9029888E-2</v>
      </c>
      <c r="U78" s="51">
        <f>O78*$A$3</f>
        <v>1.4061351999999999E-2</v>
      </c>
      <c r="V78" s="25">
        <v>11.9</v>
      </c>
      <c r="W78" s="47">
        <f>V78*$A$3</f>
        <v>5.3977447999999999</v>
      </c>
      <c r="X78" s="44">
        <v>67.400000000000006</v>
      </c>
      <c r="Y78" s="54">
        <v>0.73</v>
      </c>
      <c r="Z78" s="47">
        <f>IF(Y78&gt;0,(Y78*$A$3),"")</f>
        <v>0.33112216</v>
      </c>
      <c r="AA78" s="1">
        <v>0.45</v>
      </c>
      <c r="AB78" s="47">
        <f>IF(AA78&gt;0,(AA78*$A$3),"")</f>
        <v>0.2041164</v>
      </c>
      <c r="AC78" s="1">
        <v>12.7</v>
      </c>
      <c r="AD78" s="1">
        <v>0.54</v>
      </c>
      <c r="AE78" s="6">
        <v>0.26</v>
      </c>
    </row>
    <row r="79" spans="1:31">
      <c r="A79" s="3"/>
      <c r="C79" s="47" t="str">
        <f>IF(B79&gt;0,(B79*$A$3),"")</f>
        <v/>
      </c>
      <c r="D79" s="1">
        <v>600</v>
      </c>
      <c r="E79" s="47">
        <f>IF(D79&gt;0,(D79*$A$3),"")</f>
        <v>272.15519999999998</v>
      </c>
      <c r="H79" s="1">
        <v>2</v>
      </c>
      <c r="I79" s="47">
        <f>IF(H79&gt;0,(H79*$A$3),"")</f>
        <v>0.90718399999999999</v>
      </c>
      <c r="J79" s="32">
        <v>9.23</v>
      </c>
      <c r="K79" s="25">
        <v>5.3</v>
      </c>
      <c r="L79" s="25">
        <v>2.9</v>
      </c>
      <c r="M79" s="25">
        <v>1.56</v>
      </c>
      <c r="N79" s="25">
        <v>6.4000000000000001E-2</v>
      </c>
      <c r="O79" s="33">
        <v>3.2000000000000001E-2</v>
      </c>
      <c r="P79" s="51">
        <f>J79*$A$3</f>
        <v>4.1866541599999998</v>
      </c>
      <c r="Q79" s="51">
        <f t="shared" si="1"/>
        <v>5.3</v>
      </c>
      <c r="R79" s="51">
        <f>L79*$A$3</f>
        <v>1.3154167999999999</v>
      </c>
      <c r="S79" s="51">
        <f>M79*$A$3</f>
        <v>0.70760352000000004</v>
      </c>
      <c r="T79" s="51">
        <f>N79*$A$3</f>
        <v>2.9029888E-2</v>
      </c>
      <c r="U79" s="51">
        <f>O79*$A$3</f>
        <v>1.4514944E-2</v>
      </c>
      <c r="V79" s="25">
        <v>13.7</v>
      </c>
      <c r="W79" s="47">
        <f>V79*$A$3</f>
        <v>6.2142103999999998</v>
      </c>
      <c r="X79" s="44">
        <v>67.5</v>
      </c>
      <c r="Y79" s="54">
        <v>0.73</v>
      </c>
      <c r="Z79" s="47">
        <f>IF(Y79&gt;0,(Y79*$A$3),"")</f>
        <v>0.33112216</v>
      </c>
      <c r="AA79" s="1">
        <v>0.46</v>
      </c>
      <c r="AB79" s="47">
        <f>IF(AA79&gt;0,(AA79*$A$3),"")</f>
        <v>0.20865232</v>
      </c>
      <c r="AC79" s="1">
        <v>11.4</v>
      </c>
      <c r="AD79" s="1">
        <v>0.47</v>
      </c>
      <c r="AE79" s="6">
        <v>0.24</v>
      </c>
    </row>
    <row r="80" spans="1:31">
      <c r="A80" s="3"/>
      <c r="C80" s="47" t="str">
        <f>IF(B80&gt;0,(B80*$A$3),"")</f>
        <v/>
      </c>
      <c r="D80" s="1">
        <v>700</v>
      </c>
      <c r="E80" s="47">
        <f>IF(D80&gt;0,(D80*$A$3),"")</f>
        <v>317.51440000000002</v>
      </c>
      <c r="H80" s="1">
        <v>2</v>
      </c>
      <c r="I80" s="47">
        <f>IF(H80&gt;0,(H80*$A$3),"")</f>
        <v>0.90718399999999999</v>
      </c>
      <c r="J80" s="32">
        <v>10.34</v>
      </c>
      <c r="K80" s="25">
        <v>5.9</v>
      </c>
      <c r="L80" s="25">
        <v>3.3</v>
      </c>
      <c r="M80" s="25">
        <v>1.6</v>
      </c>
      <c r="N80" s="25">
        <v>6.4000000000000001E-2</v>
      </c>
      <c r="O80" s="33">
        <v>3.3000000000000002E-2</v>
      </c>
      <c r="P80" s="51">
        <f>J80*$A$3</f>
        <v>4.6901412799999997</v>
      </c>
      <c r="Q80" s="51">
        <f t="shared" si="1"/>
        <v>5.9</v>
      </c>
      <c r="R80" s="51">
        <f>L80*$A$3</f>
        <v>1.4968535999999999</v>
      </c>
      <c r="S80" s="51">
        <f>M80*$A$3</f>
        <v>0.72574720000000004</v>
      </c>
      <c r="T80" s="51">
        <f>N80*$A$3</f>
        <v>2.9029888E-2</v>
      </c>
      <c r="U80" s="51">
        <f>O80*$A$3</f>
        <v>1.4968536000000001E-2</v>
      </c>
      <c r="V80" s="25">
        <v>15.3</v>
      </c>
      <c r="W80" s="47">
        <f>V80*$A$3</f>
        <v>6.9399576000000005</v>
      </c>
      <c r="X80" s="44">
        <v>67.400000000000006</v>
      </c>
      <c r="Y80" s="54">
        <v>0.73</v>
      </c>
      <c r="Z80" s="47">
        <f>IF(Y80&gt;0,(Y80*$A$3),"")</f>
        <v>0.33112216</v>
      </c>
      <c r="AA80" s="1">
        <v>0.45</v>
      </c>
      <c r="AB80" s="47">
        <f>IF(AA80&gt;0,(AA80*$A$3),"")</f>
        <v>0.2041164</v>
      </c>
      <c r="AC80" s="1">
        <v>10.5</v>
      </c>
      <c r="AD80" s="1">
        <v>0.42</v>
      </c>
      <c r="AE80" s="6">
        <v>0.22</v>
      </c>
    </row>
    <row r="81" spans="1:31">
      <c r="A81" s="3"/>
      <c r="C81" s="47" t="str">
        <f>IF(B81&gt;0,(B81*$A$3),"")</f>
        <v/>
      </c>
      <c r="D81" s="1">
        <v>800</v>
      </c>
      <c r="E81" s="47">
        <f>IF(D81&gt;0,(D81*$A$3),"")</f>
        <v>362.87360000000001</v>
      </c>
      <c r="H81" s="1">
        <v>2</v>
      </c>
      <c r="I81" s="47">
        <f>IF(H81&gt;0,(H81*$A$3),"")</f>
        <v>0.90718399999999999</v>
      </c>
      <c r="J81" s="32">
        <v>11.41</v>
      </c>
      <c r="K81" s="25">
        <v>6.5</v>
      </c>
      <c r="L81" s="25">
        <v>3.6</v>
      </c>
      <c r="M81" s="25">
        <v>1.65</v>
      </c>
      <c r="N81" s="25">
        <v>6.3E-2</v>
      </c>
      <c r="O81" s="33">
        <v>3.4000000000000002E-2</v>
      </c>
      <c r="P81" s="51">
        <f>J81*$A$3</f>
        <v>5.17548472</v>
      </c>
      <c r="Q81" s="51">
        <f t="shared" si="1"/>
        <v>6.5</v>
      </c>
      <c r="R81" s="51">
        <f>L81*$A$3</f>
        <v>1.6329312</v>
      </c>
      <c r="S81" s="51">
        <f>M81*$A$3</f>
        <v>0.74842679999999995</v>
      </c>
      <c r="T81" s="51">
        <f>N81*$A$3</f>
        <v>2.8576296000000001E-2</v>
      </c>
      <c r="U81" s="51">
        <f>O81*$A$3</f>
        <v>1.5422128E-2</v>
      </c>
      <c r="V81" s="25">
        <v>17</v>
      </c>
      <c r="W81" s="47">
        <f>V81*$A$3</f>
        <v>7.7110640000000004</v>
      </c>
      <c r="X81" s="44">
        <v>67.3</v>
      </c>
      <c r="Y81" s="54">
        <v>0.73</v>
      </c>
      <c r="Z81" s="47">
        <f>IF(Y81&gt;0,(Y81*$A$3),"")</f>
        <v>0.33112216</v>
      </c>
      <c r="AA81" s="1">
        <v>0.45</v>
      </c>
      <c r="AB81" s="47">
        <f>IF(AA81&gt;0,(AA81*$A$3),"")</f>
        <v>0.2041164</v>
      </c>
      <c r="AC81" s="1">
        <v>9.6999999999999993</v>
      </c>
      <c r="AD81" s="1">
        <v>0.37</v>
      </c>
      <c r="AE81" s="6">
        <v>0.2</v>
      </c>
    </row>
    <row r="82" spans="1:31">
      <c r="A82" s="3"/>
      <c r="C82" s="47" t="str">
        <f>IF(B82&gt;0,(B82*$A$3),"")</f>
        <v/>
      </c>
      <c r="D82" s="1">
        <v>400</v>
      </c>
      <c r="E82" s="47">
        <f>IF(D82&gt;0,(D82*$A$3),"")</f>
        <v>181.43680000000001</v>
      </c>
      <c r="H82" s="1">
        <v>2.5</v>
      </c>
      <c r="I82" s="47">
        <f>IF(H82&gt;0,(H82*$A$3),"")</f>
        <v>1.13398</v>
      </c>
      <c r="J82" s="32">
        <v>7.31</v>
      </c>
      <c r="K82" s="25">
        <v>3.9</v>
      </c>
      <c r="L82" s="25">
        <v>2.7</v>
      </c>
      <c r="M82" s="25">
        <v>1.66</v>
      </c>
      <c r="N82" s="25">
        <v>7.8E-2</v>
      </c>
      <c r="O82" s="33">
        <v>3.5999999999999997E-2</v>
      </c>
      <c r="P82" s="51">
        <f>J82*$A$3</f>
        <v>3.3157575199999996</v>
      </c>
      <c r="Q82" s="51">
        <f t="shared" si="1"/>
        <v>3.9</v>
      </c>
      <c r="R82" s="51">
        <f>L82*$A$3</f>
        <v>1.2246984000000001</v>
      </c>
      <c r="S82" s="51">
        <f>M82*$A$3</f>
        <v>0.75296271999999997</v>
      </c>
      <c r="T82" s="51">
        <f>N82*$A$3</f>
        <v>3.5380175999999999E-2</v>
      </c>
      <c r="U82" s="51">
        <f>O82*$A$3</f>
        <v>1.6329311999999999E-2</v>
      </c>
      <c r="V82" s="25">
        <v>9.9</v>
      </c>
      <c r="W82" s="47">
        <f>V82*$A$3</f>
        <v>4.4905607999999999</v>
      </c>
      <c r="X82" s="44">
        <v>73.5</v>
      </c>
      <c r="Y82" s="54">
        <v>0.82</v>
      </c>
      <c r="Z82" s="47">
        <f>IF(Y82&gt;0,(Y82*$A$3),"")</f>
        <v>0.37194543999999996</v>
      </c>
      <c r="AA82" s="1">
        <v>0.53</v>
      </c>
      <c r="AB82" s="47">
        <f>IF(AA82&gt;0,(AA82*$A$3),"")</f>
        <v>0.24040376000000002</v>
      </c>
      <c r="AC82" s="1">
        <v>16.7</v>
      </c>
      <c r="AD82" s="1">
        <v>0.78</v>
      </c>
      <c r="AE82" s="6">
        <v>0.36</v>
      </c>
    </row>
    <row r="83" spans="1:31">
      <c r="A83" s="3"/>
      <c r="C83" s="47" t="str">
        <f>IF(B83&gt;0,(B83*$A$3),"")</f>
        <v/>
      </c>
      <c r="D83" s="1">
        <v>500</v>
      </c>
      <c r="E83" s="47">
        <f>IF(D83&gt;0,(D83*$A$3),"")</f>
        <v>226.79599999999999</v>
      </c>
      <c r="H83" s="1">
        <v>2.5</v>
      </c>
      <c r="I83" s="47">
        <f>IF(H83&gt;0,(H83*$A$3),"")</f>
        <v>1.13398</v>
      </c>
      <c r="J83" s="32">
        <v>8.6300000000000008</v>
      </c>
      <c r="K83" s="25">
        <v>4.5999999999999996</v>
      </c>
      <c r="L83" s="25">
        <v>3.2</v>
      </c>
      <c r="M83" s="25">
        <v>1.7</v>
      </c>
      <c r="N83" s="25">
        <v>7.5999999999999998E-2</v>
      </c>
      <c r="O83" s="33">
        <v>3.5999999999999997E-2</v>
      </c>
      <c r="P83" s="51">
        <f>J83*$A$3</f>
        <v>3.9144989600000004</v>
      </c>
      <c r="Q83" s="51">
        <f t="shared" si="1"/>
        <v>4.5999999999999996</v>
      </c>
      <c r="R83" s="51">
        <f>L83*$A$3</f>
        <v>1.4514944000000001</v>
      </c>
      <c r="S83" s="51">
        <f>M83*$A$3</f>
        <v>0.77110639999999997</v>
      </c>
      <c r="T83" s="51">
        <f>N83*$A$3</f>
        <v>3.4472992000000001E-2</v>
      </c>
      <c r="U83" s="51">
        <f>O83*$A$3</f>
        <v>1.6329311999999999E-2</v>
      </c>
      <c r="V83" s="25">
        <v>11.8</v>
      </c>
      <c r="W83" s="47">
        <f>V83*$A$3</f>
        <v>5.3523855999999999</v>
      </c>
      <c r="X83" s="44">
        <v>73.5</v>
      </c>
      <c r="Y83" s="54">
        <v>0.82</v>
      </c>
      <c r="Z83" s="47">
        <f>IF(Y83&gt;0,(Y83*$A$3),"")</f>
        <v>0.37194543999999996</v>
      </c>
      <c r="AA83" s="1">
        <v>0.53</v>
      </c>
      <c r="AB83" s="47">
        <f>IF(AA83&gt;0,(AA83*$A$3),"")</f>
        <v>0.24040376000000002</v>
      </c>
      <c r="AC83" s="1">
        <v>14.5</v>
      </c>
      <c r="AD83" s="1">
        <v>0.65</v>
      </c>
      <c r="AE83" s="6">
        <v>0.31</v>
      </c>
    </row>
    <row r="84" spans="1:31">
      <c r="A84" s="3"/>
      <c r="C84" s="47" t="str">
        <f>IF(B84&gt;0,(B84*$A$3),"")</f>
        <v/>
      </c>
      <c r="D84" s="1">
        <v>600</v>
      </c>
      <c r="E84" s="47">
        <f>IF(D84&gt;0,(D84*$A$3),"")</f>
        <v>272.15519999999998</v>
      </c>
      <c r="H84" s="1">
        <v>2.5</v>
      </c>
      <c r="I84" s="47">
        <f>IF(H84&gt;0,(H84*$A$3),"")</f>
        <v>1.13398</v>
      </c>
      <c r="J84" s="32">
        <v>9.92</v>
      </c>
      <c r="K84" s="25">
        <v>5.3</v>
      </c>
      <c r="L84" s="25">
        <v>3.7</v>
      </c>
      <c r="M84" s="25">
        <v>1.73</v>
      </c>
      <c r="N84" s="25">
        <v>7.4999999999999997E-2</v>
      </c>
      <c r="O84" s="33">
        <v>3.6999999999999998E-2</v>
      </c>
      <c r="P84" s="51">
        <f>J84*$A$3</f>
        <v>4.4996326399999997</v>
      </c>
      <c r="Q84" s="51">
        <f t="shared" si="1"/>
        <v>5.3</v>
      </c>
      <c r="R84" s="51">
        <f>L84*$A$3</f>
        <v>1.6782904000000001</v>
      </c>
      <c r="S84" s="51">
        <f>M84*$A$3</f>
        <v>0.78471415999999994</v>
      </c>
      <c r="T84" s="51">
        <f>N84*$A$3</f>
        <v>3.4019399999999998E-2</v>
      </c>
      <c r="U84" s="51">
        <f>O84*$A$3</f>
        <v>1.6782903999999998E-2</v>
      </c>
      <c r="V84" s="25">
        <v>13.5</v>
      </c>
      <c r="W84" s="47">
        <f>V84*$A$3</f>
        <v>6.1234919999999997</v>
      </c>
      <c r="X84" s="44">
        <v>73.599999999999994</v>
      </c>
      <c r="Y84" s="54">
        <v>0.82</v>
      </c>
      <c r="Z84" s="47">
        <f>IF(Y84&gt;0,(Y84*$A$3),"")</f>
        <v>0.37194543999999996</v>
      </c>
      <c r="AA84" s="1">
        <v>0.53</v>
      </c>
      <c r="AB84" s="47">
        <f>IF(AA84&gt;0,(AA84*$A$3),"")</f>
        <v>0.24040376000000002</v>
      </c>
      <c r="AC84" s="1">
        <v>12.9</v>
      </c>
      <c r="AD84" s="1">
        <v>0.56000000000000005</v>
      </c>
      <c r="AE84" s="6">
        <v>0.27</v>
      </c>
    </row>
    <row r="85" spans="1:31">
      <c r="A85" s="3"/>
      <c r="C85" s="47" t="str">
        <f>IF(B85&gt;0,(B85*$A$3),"")</f>
        <v/>
      </c>
      <c r="D85" s="1">
        <v>700</v>
      </c>
      <c r="E85" s="47">
        <f>IF(D85&gt;0,(D85*$A$3),"")</f>
        <v>317.51440000000002</v>
      </c>
      <c r="H85" s="1">
        <v>2.5</v>
      </c>
      <c r="I85" s="47">
        <f>IF(H85&gt;0,(H85*$A$3),"")</f>
        <v>1.13398</v>
      </c>
      <c r="J85" s="32">
        <v>11.11</v>
      </c>
      <c r="K85" s="25">
        <v>5.9</v>
      </c>
      <c r="L85" s="25">
        <v>4.2</v>
      </c>
      <c r="M85" s="25">
        <v>1.76</v>
      </c>
      <c r="N85" s="25">
        <v>7.3999999999999996E-2</v>
      </c>
      <c r="O85" s="33">
        <v>3.6999999999999998E-2</v>
      </c>
      <c r="P85" s="51">
        <f>J85*$A$3</f>
        <v>5.0394071199999999</v>
      </c>
      <c r="Q85" s="51">
        <f t="shared" si="1"/>
        <v>5.9</v>
      </c>
      <c r="R85" s="51">
        <f>L85*$A$3</f>
        <v>1.9050864000000001</v>
      </c>
      <c r="S85" s="51">
        <f>M85*$A$3</f>
        <v>0.79832192000000002</v>
      </c>
      <c r="T85" s="51">
        <f>N85*$A$3</f>
        <v>3.3565807999999996E-2</v>
      </c>
      <c r="U85" s="51">
        <f>O85*$A$3</f>
        <v>1.6782903999999998E-2</v>
      </c>
      <c r="V85" s="25">
        <v>15.1</v>
      </c>
      <c r="W85" s="47">
        <f>V85*$A$3</f>
        <v>6.8492391999999995</v>
      </c>
      <c r="X85" s="44">
        <v>73.400000000000006</v>
      </c>
      <c r="Y85" s="54">
        <v>0.81</v>
      </c>
      <c r="Z85" s="47">
        <f>IF(Y85&gt;0,(Y85*$A$3),"")</f>
        <v>0.36740952000000004</v>
      </c>
      <c r="AA85" s="1">
        <v>0.53</v>
      </c>
      <c r="AB85" s="47">
        <f>IF(AA85&gt;0,(AA85*$A$3),"")</f>
        <v>0.24040376000000002</v>
      </c>
      <c r="AC85" s="1">
        <v>11.7</v>
      </c>
      <c r="AD85" s="1">
        <v>0.49</v>
      </c>
      <c r="AE85" s="6">
        <v>0.25</v>
      </c>
    </row>
    <row r="86" spans="1:31">
      <c r="A86" s="3"/>
      <c r="C86" s="47" t="str">
        <f>IF(B86&gt;0,(B86*$A$3),"")</f>
        <v/>
      </c>
      <c r="D86" s="1">
        <v>800</v>
      </c>
      <c r="E86" s="47">
        <f>IF(D86&gt;0,(D86*$A$3),"")</f>
        <v>362.87360000000001</v>
      </c>
      <c r="H86" s="1">
        <v>2.5</v>
      </c>
      <c r="I86" s="47">
        <f>IF(H86&gt;0,(H86*$A$3),"")</f>
        <v>1.13398</v>
      </c>
      <c r="J86" s="32">
        <v>12.27</v>
      </c>
      <c r="K86" s="25">
        <v>6.5</v>
      </c>
      <c r="L86" s="25">
        <v>4.5999999999999996</v>
      </c>
      <c r="M86" s="25">
        <v>1.8</v>
      </c>
      <c r="N86" s="25">
        <v>7.2999999999999995E-2</v>
      </c>
      <c r="O86" s="33">
        <v>3.7999999999999999E-2</v>
      </c>
      <c r="P86" s="51">
        <f>J86*$A$3</f>
        <v>5.5655738399999999</v>
      </c>
      <c r="Q86" s="51">
        <f t="shared" si="1"/>
        <v>6.5</v>
      </c>
      <c r="R86" s="51">
        <f>L86*$A$3</f>
        <v>2.0865231999999998</v>
      </c>
      <c r="S86" s="51">
        <f>M86*$A$3</f>
        <v>0.81646560000000001</v>
      </c>
      <c r="T86" s="51">
        <f>N86*$A$3</f>
        <v>3.3112216E-2</v>
      </c>
      <c r="U86" s="51">
        <f>O86*$A$3</f>
        <v>1.7236496E-2</v>
      </c>
      <c r="V86" s="25">
        <v>16.7</v>
      </c>
      <c r="W86" s="47">
        <f>V86*$A$3</f>
        <v>7.5749863999999993</v>
      </c>
      <c r="X86" s="44">
        <v>73.3</v>
      </c>
      <c r="Y86" s="54">
        <v>0.81</v>
      </c>
      <c r="Z86" s="47">
        <f>IF(Y86&gt;0,(Y86*$A$3),"")</f>
        <v>0.36740952000000004</v>
      </c>
      <c r="AA86" s="1">
        <v>0.53</v>
      </c>
      <c r="AB86" s="47">
        <f>IF(AA86&gt;0,(AA86*$A$3),"")</f>
        <v>0.24040376000000002</v>
      </c>
      <c r="AC86" s="1">
        <v>10.7</v>
      </c>
      <c r="AD86" s="1">
        <v>0.43</v>
      </c>
      <c r="AE86" s="6">
        <v>0.23</v>
      </c>
    </row>
    <row r="87" spans="1:31">
      <c r="A87" s="3"/>
      <c r="C87" s="47" t="str">
        <f>IF(B87&gt;0,(B87*$A$3),"")</f>
        <v/>
      </c>
      <c r="D87" s="1">
        <v>400</v>
      </c>
      <c r="E87" s="47">
        <f>IF(D87&gt;0,(D87*$A$3),"")</f>
        <v>181.43680000000001</v>
      </c>
      <c r="H87" s="1">
        <v>3</v>
      </c>
      <c r="I87" s="47">
        <f>IF(H87&gt;0,(H87*$A$3),"")</f>
        <v>1.360776</v>
      </c>
      <c r="J87" s="32">
        <v>7.77</v>
      </c>
      <c r="K87" s="25">
        <v>3.9</v>
      </c>
      <c r="L87" s="25">
        <v>3.4</v>
      </c>
      <c r="M87" s="25">
        <v>1.87</v>
      </c>
      <c r="N87" s="25">
        <v>9.0999999999999998E-2</v>
      </c>
      <c r="O87" s="33">
        <v>4.1000000000000002E-2</v>
      </c>
      <c r="P87" s="51">
        <f>J87*$A$3</f>
        <v>3.5244098399999997</v>
      </c>
      <c r="Q87" s="51">
        <f t="shared" si="1"/>
        <v>3.9</v>
      </c>
      <c r="R87" s="51">
        <f>L87*$A$3</f>
        <v>1.5422127999999999</v>
      </c>
      <c r="S87" s="51">
        <f>M87*$A$3</f>
        <v>0.84821704000000009</v>
      </c>
      <c r="T87" s="51">
        <f>N87*$A$3</f>
        <v>4.1276871999999999E-2</v>
      </c>
      <c r="U87" s="51">
        <f>O87*$A$3</f>
        <v>1.8597272000000001E-2</v>
      </c>
      <c r="V87" s="25">
        <v>9.5</v>
      </c>
      <c r="W87" s="47">
        <f>V87*$A$3</f>
        <v>4.3091239999999997</v>
      </c>
      <c r="X87" s="44">
        <v>81.5</v>
      </c>
      <c r="Y87" s="54">
        <v>0.93</v>
      </c>
      <c r="Z87" s="47">
        <f>IF(Y87&gt;0,(Y87*$A$3),"")</f>
        <v>0.42184056000000003</v>
      </c>
      <c r="AA87" s="1">
        <v>0.63</v>
      </c>
      <c r="AB87" s="47">
        <f>IF(AA87&gt;0,(AA87*$A$3),"")</f>
        <v>0.28576296000000001</v>
      </c>
      <c r="AC87" s="1">
        <v>19.600000000000001</v>
      </c>
      <c r="AD87" s="1">
        <v>0.95</v>
      </c>
      <c r="AE87" s="6">
        <v>0.43</v>
      </c>
    </row>
    <row r="88" spans="1:31">
      <c r="A88" s="3"/>
      <c r="C88" s="47" t="str">
        <f>IF(B88&gt;0,(B88*$A$3),"")</f>
        <v/>
      </c>
      <c r="D88" s="1">
        <v>500</v>
      </c>
      <c r="E88" s="47">
        <f>IF(D88&gt;0,(D88*$A$3),"")</f>
        <v>226.79599999999999</v>
      </c>
      <c r="H88" s="1">
        <v>3</v>
      </c>
      <c r="I88" s="47">
        <f>IF(H88&gt;0,(H88*$A$3),"")</f>
        <v>1.360776</v>
      </c>
      <c r="J88" s="32">
        <v>9.18</v>
      </c>
      <c r="K88" s="25">
        <v>4.5999999999999996</v>
      </c>
      <c r="L88" s="25">
        <v>4</v>
      </c>
      <c r="M88" s="25">
        <v>1.89</v>
      </c>
      <c r="N88" s="25">
        <v>8.7999999999999995E-2</v>
      </c>
      <c r="O88" s="33">
        <v>4.1000000000000002E-2</v>
      </c>
      <c r="P88" s="51">
        <f>J88*$A$3</f>
        <v>4.1639745599999998</v>
      </c>
      <c r="Q88" s="51">
        <f t="shared" si="1"/>
        <v>4.5999999999999996</v>
      </c>
      <c r="R88" s="51">
        <f>L88*$A$3</f>
        <v>1.814368</v>
      </c>
      <c r="S88" s="51">
        <f>M88*$A$3</f>
        <v>0.85728887999999992</v>
      </c>
      <c r="T88" s="51">
        <f>N88*$A$3</f>
        <v>3.9916095999999998E-2</v>
      </c>
      <c r="U88" s="51">
        <f>O88*$A$3</f>
        <v>1.8597272000000001E-2</v>
      </c>
      <c r="V88" s="25">
        <v>11.3</v>
      </c>
      <c r="W88" s="47">
        <f>V88*$A$3</f>
        <v>5.1255896000000005</v>
      </c>
      <c r="X88" s="44">
        <v>81.400000000000006</v>
      </c>
      <c r="Y88" s="54">
        <v>0.93</v>
      </c>
      <c r="Z88" s="47">
        <f>IF(Y88&gt;0,(Y88*$A$3),"")</f>
        <v>0.42184056000000003</v>
      </c>
      <c r="AA88" s="1">
        <v>0.63</v>
      </c>
      <c r="AB88" s="47">
        <f>IF(AA88&gt;0,(AA88*$A$3),"")</f>
        <v>0.28576296000000001</v>
      </c>
      <c r="AC88" s="1">
        <v>16.7</v>
      </c>
      <c r="AD88" s="1">
        <v>0.78</v>
      </c>
      <c r="AE88" s="6">
        <v>0.36</v>
      </c>
    </row>
    <row r="89" spans="1:31">
      <c r="A89" s="3"/>
      <c r="C89" s="47" t="str">
        <f>IF(B89&gt;0,(B89*$A$3),"")</f>
        <v/>
      </c>
      <c r="D89" s="1">
        <v>600</v>
      </c>
      <c r="E89" s="47">
        <f>IF(D89&gt;0,(D89*$A$3),"")</f>
        <v>272.15519999999998</v>
      </c>
      <c r="H89" s="1">
        <v>3</v>
      </c>
      <c r="I89" s="47">
        <f>IF(H89&gt;0,(H89*$A$3),"")</f>
        <v>1.360776</v>
      </c>
      <c r="J89" s="32">
        <v>10.54</v>
      </c>
      <c r="K89" s="25">
        <v>5.3</v>
      </c>
      <c r="L89" s="25">
        <v>4.5</v>
      </c>
      <c r="M89" s="25">
        <v>1.9</v>
      </c>
      <c r="N89" s="25">
        <v>8.5999999999999993E-2</v>
      </c>
      <c r="O89" s="33">
        <v>4.1000000000000002E-2</v>
      </c>
      <c r="P89" s="51">
        <f>J89*$A$3</f>
        <v>4.7808596799999998</v>
      </c>
      <c r="Q89" s="51">
        <f t="shared" si="1"/>
        <v>5.3</v>
      </c>
      <c r="R89" s="51">
        <f>L89*$A$3</f>
        <v>2.0411640000000002</v>
      </c>
      <c r="S89" s="51">
        <f>M89*$A$3</f>
        <v>0.86182479999999995</v>
      </c>
      <c r="T89" s="51">
        <f>N89*$A$3</f>
        <v>3.9008912E-2</v>
      </c>
      <c r="U89" s="51">
        <f>O89*$A$3</f>
        <v>1.8597272000000001E-2</v>
      </c>
      <c r="V89" s="25">
        <v>12.9</v>
      </c>
      <c r="W89" s="47">
        <f>V89*$A$3</f>
        <v>5.8513368000000003</v>
      </c>
      <c r="X89" s="44">
        <v>81.599999999999994</v>
      </c>
      <c r="Y89" s="54">
        <v>0.93</v>
      </c>
      <c r="Z89" s="47">
        <f>IF(Y89&gt;0,(Y89*$A$3),"")</f>
        <v>0.42184056000000003</v>
      </c>
      <c r="AA89" s="1">
        <v>0.63</v>
      </c>
      <c r="AB89" s="47">
        <f>IF(AA89&gt;0,(AA89*$A$3),"")</f>
        <v>0.28576296000000001</v>
      </c>
      <c r="AC89" s="1">
        <v>14.7</v>
      </c>
      <c r="AD89" s="1">
        <v>0.66</v>
      </c>
      <c r="AE89" s="6">
        <v>0.32</v>
      </c>
    </row>
    <row r="90" spans="1:31">
      <c r="A90" s="3"/>
      <c r="C90" s="47" t="str">
        <f>IF(B90&gt;0,(B90*$A$3),"")</f>
        <v/>
      </c>
      <c r="D90" s="1">
        <v>700</v>
      </c>
      <c r="E90" s="47">
        <f>IF(D90&gt;0,(D90*$A$3),"")</f>
        <v>317.51440000000002</v>
      </c>
      <c r="H90" s="1">
        <v>3</v>
      </c>
      <c r="I90" s="47">
        <f>IF(H90&gt;0,(H90*$A$3),"")</f>
        <v>1.360776</v>
      </c>
      <c r="J90" s="32">
        <v>11.81</v>
      </c>
      <c r="K90" s="25">
        <v>5.9</v>
      </c>
      <c r="L90" s="25">
        <v>5.0999999999999996</v>
      </c>
      <c r="M90" s="25">
        <v>1.92</v>
      </c>
      <c r="N90" s="25">
        <v>8.3000000000000004E-2</v>
      </c>
      <c r="O90" s="33">
        <v>4.1000000000000002E-2</v>
      </c>
      <c r="P90" s="51">
        <f>J90*$A$3</f>
        <v>5.3569215200000002</v>
      </c>
      <c r="Q90" s="51">
        <f t="shared" si="1"/>
        <v>5.9</v>
      </c>
      <c r="R90" s="51">
        <f>L90*$A$3</f>
        <v>2.3133192</v>
      </c>
      <c r="S90" s="51">
        <f>M90*$A$3</f>
        <v>0.87089664</v>
      </c>
      <c r="T90" s="51">
        <f>N90*$A$3</f>
        <v>3.7648135999999999E-2</v>
      </c>
      <c r="U90" s="51">
        <f>O90*$A$3</f>
        <v>1.8597272000000001E-2</v>
      </c>
      <c r="V90" s="25">
        <v>14.5</v>
      </c>
      <c r="W90" s="47">
        <f>V90*$A$3</f>
        <v>6.5770840000000002</v>
      </c>
      <c r="X90" s="44">
        <v>81.2</v>
      </c>
      <c r="Y90" s="54">
        <v>0.93</v>
      </c>
      <c r="Z90" s="47">
        <f>IF(Y90&gt;0,(Y90*$A$3),"")</f>
        <v>0.42184056000000003</v>
      </c>
      <c r="AA90" s="1">
        <v>0.63</v>
      </c>
      <c r="AB90" s="47">
        <f>IF(AA90&gt;0,(AA90*$A$3),"")</f>
        <v>0.28576296000000001</v>
      </c>
      <c r="AC90" s="1">
        <v>13.2</v>
      </c>
      <c r="AD90" s="1">
        <v>0.56999999999999995</v>
      </c>
      <c r="AE90" s="6">
        <v>0.28000000000000003</v>
      </c>
    </row>
    <row r="91" spans="1:31">
      <c r="A91" s="13"/>
      <c r="B91" s="8"/>
      <c r="C91" s="47" t="str">
        <f>IF(B91&gt;0,(B91*$A$3),"")</f>
        <v/>
      </c>
      <c r="D91" s="8">
        <v>800</v>
      </c>
      <c r="E91" s="47">
        <f>IF(D91&gt;0,(D91*$A$3),"")</f>
        <v>362.87360000000001</v>
      </c>
      <c r="F91" s="8"/>
      <c r="G91" s="8"/>
      <c r="H91" s="1">
        <v>3</v>
      </c>
      <c r="I91" s="47">
        <f>IF(H91&gt;0,(H91*$A$3),"")</f>
        <v>1.360776</v>
      </c>
      <c r="J91" s="34">
        <v>13.04</v>
      </c>
      <c r="K91" s="35">
        <v>6.5</v>
      </c>
      <c r="L91" s="35">
        <v>5.6</v>
      </c>
      <c r="M91" s="35">
        <v>1.94</v>
      </c>
      <c r="N91" s="35">
        <v>8.1000000000000003E-2</v>
      </c>
      <c r="O91" s="36">
        <v>4.1000000000000002E-2</v>
      </c>
      <c r="P91" s="51">
        <f>J91*$A$3</f>
        <v>5.9148396799999992</v>
      </c>
      <c r="Q91" s="51">
        <f t="shared" ref="Q91:Q154" si="2">K91</f>
        <v>6.5</v>
      </c>
      <c r="R91" s="51">
        <f>L91*$A$3</f>
        <v>2.5401151999999998</v>
      </c>
      <c r="S91" s="51">
        <f>M91*$A$3</f>
        <v>0.87996847999999994</v>
      </c>
      <c r="T91" s="51">
        <f>N91*$A$3</f>
        <v>3.6740952E-2</v>
      </c>
      <c r="U91" s="51">
        <f>O91*$A$3</f>
        <v>1.8597272000000001E-2</v>
      </c>
      <c r="V91" s="35">
        <v>16.100000000000001</v>
      </c>
      <c r="W91" s="47">
        <f>V91*$A$3</f>
        <v>7.3028312000000009</v>
      </c>
      <c r="X91" s="46">
        <v>81.099999999999994</v>
      </c>
      <c r="Y91" s="56">
        <v>0.92</v>
      </c>
      <c r="Z91" s="47">
        <f>IF(Y91&gt;0,(Y91*$A$3),"")</f>
        <v>0.41730464</v>
      </c>
      <c r="AA91" s="8">
        <v>0.62</v>
      </c>
      <c r="AB91" s="47">
        <f>IF(AA91&gt;0,(AA91*$A$3),"")</f>
        <v>0.28122703999999998</v>
      </c>
      <c r="AC91" s="8">
        <v>12.1</v>
      </c>
      <c r="AD91" s="8">
        <v>0.51</v>
      </c>
      <c r="AE91" s="9">
        <v>0.26</v>
      </c>
    </row>
    <row r="92" spans="1:31">
      <c r="C92" s="47" t="str">
        <f>IF(B92&gt;0,(B92*$A$3),"")</f>
        <v/>
      </c>
      <c r="E92" s="47" t="str">
        <f>IF(D92&gt;0,(D92*$A$3),"")</f>
        <v/>
      </c>
      <c r="I92" s="47" t="str">
        <f>IF(H92&gt;0,(H92*$A$3),"")</f>
        <v/>
      </c>
      <c r="P92" s="51">
        <f>J92*$A$3</f>
        <v>0</v>
      </c>
      <c r="Q92" s="51">
        <f t="shared" si="2"/>
        <v>0</v>
      </c>
      <c r="R92" s="51">
        <f>L92*$A$3</f>
        <v>0</v>
      </c>
      <c r="S92" s="51">
        <f>M92*$A$3</f>
        <v>0</v>
      </c>
      <c r="T92" s="51">
        <f>N92*$A$3</f>
        <v>0</v>
      </c>
      <c r="U92" s="51">
        <f>O92*$A$3</f>
        <v>0</v>
      </c>
    </row>
    <row r="93" spans="1:31">
      <c r="A93" s="11"/>
      <c r="B93" s="10"/>
      <c r="C93" s="47" t="str">
        <f>IF(B93&gt;0,(B93*$A$3),"")</f>
        <v/>
      </c>
      <c r="D93" s="10"/>
      <c r="E93" s="47" t="str">
        <f>IF(D93&gt;0,(D93*$A$3),"")</f>
        <v/>
      </c>
      <c r="F93" s="10"/>
      <c r="G93" s="10"/>
      <c r="H93" s="10"/>
      <c r="I93" s="47" t="str">
        <f>IF(H93&gt;0,(H93*$A$3),"")</f>
        <v/>
      </c>
      <c r="J93" s="26" t="s">
        <v>10</v>
      </c>
      <c r="K93" s="27"/>
      <c r="L93" s="27"/>
      <c r="M93" s="27"/>
      <c r="N93" s="27"/>
      <c r="O93" s="28"/>
      <c r="P93" s="51" t="e">
        <f>J93*$A$3</f>
        <v>#VALUE!</v>
      </c>
      <c r="Q93" s="51">
        <f t="shared" si="2"/>
        <v>0</v>
      </c>
      <c r="R93" s="51">
        <f>L93*$A$3</f>
        <v>0</v>
      </c>
      <c r="S93" s="51">
        <f>M93*$A$3</f>
        <v>0</v>
      </c>
      <c r="T93" s="51">
        <f>N93*$A$3</f>
        <v>0</v>
      </c>
      <c r="U93" s="51">
        <f>O93*$A$3</f>
        <v>0</v>
      </c>
      <c r="V93" s="21" t="s">
        <v>21</v>
      </c>
      <c r="W93" s="21"/>
      <c r="X93" s="21"/>
      <c r="Y93" s="21"/>
      <c r="Z93" s="21"/>
      <c r="AA93" s="21"/>
      <c r="AB93" s="21"/>
      <c r="AC93" s="21"/>
      <c r="AD93" s="21"/>
      <c r="AE93" s="22"/>
    </row>
    <row r="94" spans="1:31" ht="26">
      <c r="A94" s="12" t="s">
        <v>41</v>
      </c>
      <c r="B94" s="2" t="s">
        <v>27</v>
      </c>
      <c r="C94" s="47" t="s">
        <v>132</v>
      </c>
      <c r="D94" s="2" t="s">
        <v>31</v>
      </c>
      <c r="E94" s="49" t="s">
        <v>128</v>
      </c>
      <c r="F94" s="2"/>
      <c r="G94" s="2"/>
      <c r="H94" s="2" t="s">
        <v>30</v>
      </c>
      <c r="I94" s="47" t="e">
        <f>IF(H94&gt;0,(H94*$A$3),"")</f>
        <v>#VALUE!</v>
      </c>
      <c r="J94" s="29" t="s">
        <v>11</v>
      </c>
      <c r="K94" s="30" t="s">
        <v>23</v>
      </c>
      <c r="L94" s="30" t="s">
        <v>24</v>
      </c>
      <c r="M94" s="30" t="s">
        <v>12</v>
      </c>
      <c r="N94" s="30" t="s">
        <v>13</v>
      </c>
      <c r="O94" s="31" t="s">
        <v>14</v>
      </c>
      <c r="P94" s="48" t="s">
        <v>130</v>
      </c>
      <c r="Q94" s="49" t="s">
        <v>23</v>
      </c>
      <c r="R94" s="49" t="s">
        <v>129</v>
      </c>
      <c r="S94" s="49" t="s">
        <v>117</v>
      </c>
      <c r="T94" s="49" t="s">
        <v>118</v>
      </c>
      <c r="U94" s="50" t="s">
        <v>119</v>
      </c>
      <c r="V94" s="29" t="s">
        <v>15</v>
      </c>
      <c r="W94" s="48" t="s">
        <v>120</v>
      </c>
      <c r="X94" s="45" t="s">
        <v>16</v>
      </c>
      <c r="Y94" s="55" t="s">
        <v>17</v>
      </c>
      <c r="Z94" s="49" t="s">
        <v>126</v>
      </c>
      <c r="AA94" s="2" t="s">
        <v>24</v>
      </c>
      <c r="AB94" s="49" t="s">
        <v>127</v>
      </c>
      <c r="AC94" s="2" t="s">
        <v>18</v>
      </c>
      <c r="AD94" s="2" t="s">
        <v>19</v>
      </c>
      <c r="AE94" s="4" t="s">
        <v>20</v>
      </c>
    </row>
    <row r="95" spans="1:31">
      <c r="A95" s="3"/>
      <c r="B95" s="1">
        <v>1200</v>
      </c>
      <c r="C95" s="47">
        <f>IF(B95&gt;0,(B95*$A$3),"")</f>
        <v>544.31039999999996</v>
      </c>
      <c r="D95" s="1">
        <v>600</v>
      </c>
      <c r="E95" s="47">
        <f>IF(D95&gt;0,(D95*$A$3),"")</f>
        <v>272.15519999999998</v>
      </c>
      <c r="H95" s="1">
        <v>1</v>
      </c>
      <c r="I95" s="47">
        <f>IF(H95&gt;0,(H95*$A$3),"")</f>
        <v>0.453592</v>
      </c>
      <c r="J95" s="32">
        <v>8.39</v>
      </c>
      <c r="K95" s="25">
        <v>5.3</v>
      </c>
      <c r="L95" s="25">
        <v>1.4</v>
      </c>
      <c r="M95" s="25">
        <v>1.26</v>
      </c>
      <c r="N95" s="25">
        <v>4.2000000000000003E-2</v>
      </c>
      <c r="O95" s="33">
        <v>2.3E-2</v>
      </c>
      <c r="P95" s="51">
        <f>J95*$A$3</f>
        <v>3.8056368800000002</v>
      </c>
      <c r="Q95" s="51">
        <f t="shared" si="2"/>
        <v>5.3</v>
      </c>
      <c r="R95" s="51">
        <f>L95*$A$3</f>
        <v>0.63502879999999995</v>
      </c>
      <c r="S95" s="51">
        <f>M95*$A$3</f>
        <v>0.57152592000000002</v>
      </c>
      <c r="T95" s="51">
        <f>N95*$A$3</f>
        <v>1.9050864000000001E-2</v>
      </c>
      <c r="U95" s="51">
        <f>O95*$A$3</f>
        <v>1.0432616E-2</v>
      </c>
      <c r="V95" s="25">
        <v>15.8</v>
      </c>
      <c r="W95" s="47">
        <f>V95*$A$3</f>
        <v>7.1667535999999998</v>
      </c>
      <c r="X95" s="44">
        <v>53.1</v>
      </c>
      <c r="Y95" s="54">
        <v>0.51</v>
      </c>
      <c r="Z95" s="47">
        <f>IF(Y95&gt;0,(Y95*$A$3),"")</f>
        <v>0.23133192</v>
      </c>
      <c r="AA95" s="1">
        <v>0.25</v>
      </c>
      <c r="AB95" s="47">
        <f>IF(AA95&gt;0,(AA95*$A$3),"")</f>
        <v>0.113398</v>
      </c>
      <c r="AC95" s="1">
        <v>8</v>
      </c>
      <c r="AD95" s="1">
        <v>0.26</v>
      </c>
      <c r="AE95" s="6">
        <v>0.15</v>
      </c>
    </row>
    <row r="96" spans="1:31">
      <c r="A96" s="3"/>
      <c r="C96" s="47" t="str">
        <f>IF(B96&gt;0,(B96*$A$3),"")</f>
        <v/>
      </c>
      <c r="D96" s="1">
        <v>700</v>
      </c>
      <c r="E96" s="47">
        <f>IF(D96&gt;0,(D96*$A$3),"")</f>
        <v>317.51440000000002</v>
      </c>
      <c r="H96" s="1">
        <v>1</v>
      </c>
      <c r="I96" s="47">
        <f>IF(H96&gt;0,(H96*$A$3),"")</f>
        <v>0.453592</v>
      </c>
      <c r="J96" s="32">
        <v>9.39</v>
      </c>
      <c r="K96" s="25">
        <v>5.9</v>
      </c>
      <c r="L96" s="25">
        <v>1.5</v>
      </c>
      <c r="M96" s="25">
        <v>1.33</v>
      </c>
      <c r="N96" s="25">
        <v>4.2999999999999997E-2</v>
      </c>
      <c r="O96" s="33">
        <v>2.5000000000000001E-2</v>
      </c>
      <c r="P96" s="51">
        <f>J96*$A$3</f>
        <v>4.2592288800000002</v>
      </c>
      <c r="Q96" s="51">
        <f t="shared" si="2"/>
        <v>5.9</v>
      </c>
      <c r="R96" s="51">
        <f>L96*$A$3</f>
        <v>0.68038799999999999</v>
      </c>
      <c r="S96" s="51">
        <f>M96*$A$3</f>
        <v>0.60327735999999998</v>
      </c>
      <c r="T96" s="51">
        <f>N96*$A$3</f>
        <v>1.9504456E-2</v>
      </c>
      <c r="U96" s="51">
        <f>O96*$A$3</f>
        <v>1.1339800000000001E-2</v>
      </c>
      <c r="V96" s="25">
        <v>17.7</v>
      </c>
      <c r="W96" s="47">
        <f>V96*$A$3</f>
        <v>8.0285783999999989</v>
      </c>
      <c r="X96" s="44">
        <v>53</v>
      </c>
      <c r="Y96" s="54">
        <v>0.51</v>
      </c>
      <c r="Z96" s="47">
        <f>IF(Y96&gt;0,(Y96*$A$3),"")</f>
        <v>0.23133192</v>
      </c>
      <c r="AA96" s="1">
        <v>0.25</v>
      </c>
      <c r="AB96" s="47">
        <f>IF(AA96&gt;0,(AA96*$A$3),"")</f>
        <v>0.113398</v>
      </c>
      <c r="AC96" s="1">
        <v>7.5</v>
      </c>
      <c r="AD96" s="1">
        <v>0.24</v>
      </c>
      <c r="AE96" s="6">
        <v>0.14000000000000001</v>
      </c>
    </row>
    <row r="97" spans="1:31">
      <c r="A97" s="3"/>
      <c r="C97" s="47" t="str">
        <f>IF(B97&gt;0,(B97*$A$3),"")</f>
        <v/>
      </c>
      <c r="D97" s="1">
        <v>800</v>
      </c>
      <c r="E97" s="47">
        <f>IF(D97&gt;0,(D97*$A$3),"")</f>
        <v>362.87360000000001</v>
      </c>
      <c r="H97" s="1">
        <v>1</v>
      </c>
      <c r="I97" s="47">
        <f>IF(H97&gt;0,(H97*$A$3),"")</f>
        <v>0.453592</v>
      </c>
      <c r="J97" s="32">
        <v>10.36</v>
      </c>
      <c r="K97" s="25">
        <v>6.5</v>
      </c>
      <c r="L97" s="25">
        <v>1.7</v>
      </c>
      <c r="M97" s="25">
        <v>1.4</v>
      </c>
      <c r="N97" s="25">
        <v>4.4999999999999998E-2</v>
      </c>
      <c r="O97" s="33">
        <v>2.7E-2</v>
      </c>
      <c r="P97" s="51">
        <f>J97*$A$3</f>
        <v>4.6992131199999996</v>
      </c>
      <c r="Q97" s="51">
        <f t="shared" si="2"/>
        <v>6.5</v>
      </c>
      <c r="R97" s="51">
        <f>L97*$A$3</f>
        <v>0.77110639999999997</v>
      </c>
      <c r="S97" s="51">
        <f>M97*$A$3</f>
        <v>0.63502879999999995</v>
      </c>
      <c r="T97" s="51">
        <f>N97*$A$3</f>
        <v>2.0411639999999998E-2</v>
      </c>
      <c r="U97" s="51">
        <f>O97*$A$3</f>
        <v>1.2246983999999999E-2</v>
      </c>
      <c r="V97" s="25">
        <v>19.600000000000001</v>
      </c>
      <c r="W97" s="47">
        <f>V97*$A$3</f>
        <v>8.8904031999999997</v>
      </c>
      <c r="X97" s="44">
        <v>53</v>
      </c>
      <c r="Y97" s="54">
        <v>0.51</v>
      </c>
      <c r="Z97" s="47">
        <f>IF(Y97&gt;0,(Y97*$A$3),"")</f>
        <v>0.23133192</v>
      </c>
      <c r="AA97" s="1">
        <v>0.25</v>
      </c>
      <c r="AB97" s="47">
        <f>IF(AA97&gt;0,(AA97*$A$3),"")</f>
        <v>0.113398</v>
      </c>
      <c r="AC97" s="1">
        <v>7.2</v>
      </c>
      <c r="AD97" s="1">
        <v>0.23</v>
      </c>
      <c r="AE97" s="6">
        <v>0.14000000000000001</v>
      </c>
    </row>
    <row r="98" spans="1:31">
      <c r="A98" s="3"/>
      <c r="C98" s="47" t="str">
        <f>IF(B98&gt;0,(B98*$A$3),"")</f>
        <v/>
      </c>
      <c r="D98" s="1">
        <v>900</v>
      </c>
      <c r="E98" s="47">
        <f>IF(D98&gt;0,(D98*$A$3),"")</f>
        <v>408.2328</v>
      </c>
      <c r="H98" s="1">
        <v>1</v>
      </c>
      <c r="I98" s="47">
        <f>IF(H98&gt;0,(H98*$A$3),"")</f>
        <v>0.453592</v>
      </c>
      <c r="J98" s="32">
        <v>11.31</v>
      </c>
      <c r="K98" s="25">
        <v>7.1</v>
      </c>
      <c r="L98" s="25">
        <v>1.8</v>
      </c>
      <c r="M98" s="25">
        <v>1.47</v>
      </c>
      <c r="N98" s="25">
        <v>4.5999999999999999E-2</v>
      </c>
      <c r="O98" s="33">
        <v>2.8000000000000001E-2</v>
      </c>
      <c r="P98" s="51">
        <f>J98*$A$3</f>
        <v>5.13012552</v>
      </c>
      <c r="Q98" s="51">
        <f t="shared" si="2"/>
        <v>7.1</v>
      </c>
      <c r="R98" s="51">
        <f>L98*$A$3</f>
        <v>0.81646560000000001</v>
      </c>
      <c r="S98" s="51">
        <f>M98*$A$3</f>
        <v>0.66678024000000002</v>
      </c>
      <c r="T98" s="51">
        <f>N98*$A$3</f>
        <v>2.0865232000000001E-2</v>
      </c>
      <c r="U98" s="51">
        <f>O98*$A$3</f>
        <v>1.2700576E-2</v>
      </c>
      <c r="V98" s="25">
        <v>21.4</v>
      </c>
      <c r="W98" s="47">
        <f>V98*$A$3</f>
        <v>9.7068687999999987</v>
      </c>
      <c r="X98" s="44">
        <v>52.9</v>
      </c>
      <c r="Y98" s="54">
        <v>0.51</v>
      </c>
      <c r="Z98" s="47">
        <f>IF(Y98&gt;0,(Y98*$A$3),"")</f>
        <v>0.23133192</v>
      </c>
      <c r="AA98" s="1">
        <v>0.25</v>
      </c>
      <c r="AB98" s="47">
        <f>IF(AA98&gt;0,(AA98*$A$3),"")</f>
        <v>0.113398</v>
      </c>
      <c r="AC98" s="1">
        <v>6.9</v>
      </c>
      <c r="AD98" s="1">
        <v>0.22</v>
      </c>
      <c r="AE98" s="6">
        <v>0.13</v>
      </c>
    </row>
    <row r="99" spans="1:31">
      <c r="A99" s="3"/>
      <c r="C99" s="47" t="str">
        <f>IF(B99&gt;0,(B99*$A$3),"")</f>
        <v/>
      </c>
      <c r="D99" s="15">
        <v>1000</v>
      </c>
      <c r="E99" s="47">
        <f>IF(D99&gt;0,(D99*$A$3),"")</f>
        <v>453.59199999999998</v>
      </c>
      <c r="F99" s="15"/>
      <c r="G99" s="15"/>
      <c r="H99" s="1">
        <v>1</v>
      </c>
      <c r="I99" s="47">
        <f>IF(H99&gt;0,(H99*$A$3),"")</f>
        <v>0.453592</v>
      </c>
      <c r="J99" s="32">
        <v>12.25</v>
      </c>
      <c r="K99" s="25">
        <v>7.7</v>
      </c>
      <c r="L99" s="25">
        <v>2</v>
      </c>
      <c r="M99" s="25">
        <v>1.53</v>
      </c>
      <c r="N99" s="25">
        <v>4.8000000000000001E-2</v>
      </c>
      <c r="O99" s="33">
        <v>0.03</v>
      </c>
      <c r="P99" s="51">
        <f>J99*$A$3</f>
        <v>5.5565020000000001</v>
      </c>
      <c r="Q99" s="51">
        <f t="shared" si="2"/>
        <v>7.7</v>
      </c>
      <c r="R99" s="51">
        <f>L99*$A$3</f>
        <v>0.90718399999999999</v>
      </c>
      <c r="S99" s="51">
        <f>M99*$A$3</f>
        <v>0.69399575999999996</v>
      </c>
      <c r="T99" s="51">
        <f>N99*$A$3</f>
        <v>2.1772415999999999E-2</v>
      </c>
      <c r="U99" s="51">
        <f>O99*$A$3</f>
        <v>1.360776E-2</v>
      </c>
      <c r="V99" s="25">
        <v>23.1</v>
      </c>
      <c r="W99" s="47">
        <f>V99*$A$3</f>
        <v>10.477975200000001</v>
      </c>
      <c r="X99" s="44">
        <v>52.9</v>
      </c>
      <c r="Y99" s="54">
        <v>0.51</v>
      </c>
      <c r="Z99" s="47">
        <f>IF(Y99&gt;0,(Y99*$A$3),"")</f>
        <v>0.23133192</v>
      </c>
      <c r="AA99" s="1">
        <v>0.25</v>
      </c>
      <c r="AB99" s="47">
        <f>IF(AA99&gt;0,(AA99*$A$3),"")</f>
        <v>0.113398</v>
      </c>
      <c r="AC99" s="1">
        <v>6.6</v>
      </c>
      <c r="AD99" s="1">
        <v>0.21</v>
      </c>
      <c r="AE99" s="6">
        <v>0.13</v>
      </c>
    </row>
    <row r="100" spans="1:31">
      <c r="A100" s="3"/>
      <c r="C100" s="47" t="str">
        <f>IF(B100&gt;0,(B100*$A$3),"")</f>
        <v/>
      </c>
      <c r="D100" s="15">
        <v>1100</v>
      </c>
      <c r="E100" s="47">
        <f>IF(D100&gt;0,(D100*$A$3),"")</f>
        <v>498.95119999999997</v>
      </c>
      <c r="F100" s="15"/>
      <c r="G100" s="15"/>
      <c r="H100" s="1">
        <v>1</v>
      </c>
      <c r="I100" s="47">
        <f>IF(H100&gt;0,(H100*$A$3),"")</f>
        <v>0.453592</v>
      </c>
      <c r="J100" s="32">
        <v>13.18</v>
      </c>
      <c r="K100" s="25">
        <v>8.3000000000000007</v>
      </c>
      <c r="L100" s="25">
        <v>2.1</v>
      </c>
      <c r="M100" s="25">
        <v>1.59</v>
      </c>
      <c r="N100" s="25">
        <v>4.9000000000000002E-2</v>
      </c>
      <c r="O100" s="33">
        <v>3.2000000000000001E-2</v>
      </c>
      <c r="P100" s="51">
        <f>J100*$A$3</f>
        <v>5.9783425599999998</v>
      </c>
      <c r="Q100" s="51">
        <f t="shared" si="2"/>
        <v>8.3000000000000007</v>
      </c>
      <c r="R100" s="51">
        <f>L100*$A$3</f>
        <v>0.95254320000000003</v>
      </c>
      <c r="S100" s="51">
        <f>M100*$A$3</f>
        <v>0.72121128000000001</v>
      </c>
      <c r="T100" s="51">
        <f>N100*$A$3</f>
        <v>2.2226008000000002E-2</v>
      </c>
      <c r="U100" s="51">
        <f>O100*$A$3</f>
        <v>1.4514944E-2</v>
      </c>
      <c r="V100" s="25">
        <v>24.9</v>
      </c>
      <c r="W100" s="47">
        <f>V100*$A$3</f>
        <v>11.294440799999999</v>
      </c>
      <c r="X100" s="44">
        <v>53</v>
      </c>
      <c r="Y100" s="54">
        <v>0.51</v>
      </c>
      <c r="Z100" s="47">
        <f>IF(Y100&gt;0,(Y100*$A$3),"")</f>
        <v>0.23133192</v>
      </c>
      <c r="AA100" s="1">
        <v>0.25</v>
      </c>
      <c r="AB100" s="47">
        <f>IF(AA100&gt;0,(AA100*$A$3),"")</f>
        <v>0.113398</v>
      </c>
      <c r="AC100" s="1">
        <v>6.4</v>
      </c>
      <c r="AD100" s="1">
        <v>0.2</v>
      </c>
      <c r="AE100" s="6">
        <v>0.13</v>
      </c>
    </row>
    <row r="101" spans="1:31">
      <c r="A101" s="3"/>
      <c r="C101" s="47" t="str">
        <f>IF(B101&gt;0,(B101*$A$3),"")</f>
        <v/>
      </c>
      <c r="D101" s="1">
        <v>600</v>
      </c>
      <c r="E101" s="47">
        <f>IF(D101&gt;0,(D101*$A$3),"")</f>
        <v>272.15519999999998</v>
      </c>
      <c r="H101" s="1">
        <v>1.5</v>
      </c>
      <c r="I101" s="47">
        <f>IF(H101&gt;0,(H101*$A$3),"")</f>
        <v>0.68038799999999999</v>
      </c>
      <c r="J101" s="32">
        <v>9.18</v>
      </c>
      <c r="K101" s="25">
        <v>5.3</v>
      </c>
      <c r="L101" s="25">
        <v>2.1</v>
      </c>
      <c r="M101" s="25">
        <v>1.47</v>
      </c>
      <c r="N101" s="25">
        <v>5.2999999999999999E-2</v>
      </c>
      <c r="O101" s="33">
        <v>2.8000000000000001E-2</v>
      </c>
      <c r="P101" s="51">
        <f>J101*$A$3</f>
        <v>4.1639745599999998</v>
      </c>
      <c r="Q101" s="51">
        <f t="shared" si="2"/>
        <v>5.3</v>
      </c>
      <c r="R101" s="51">
        <f>L101*$A$3</f>
        <v>0.95254320000000003</v>
      </c>
      <c r="S101" s="51">
        <f>M101*$A$3</f>
        <v>0.66678024000000002</v>
      </c>
      <c r="T101" s="51">
        <f>N101*$A$3</f>
        <v>2.4040375999999999E-2</v>
      </c>
      <c r="U101" s="51">
        <f>O101*$A$3</f>
        <v>1.2700576E-2</v>
      </c>
      <c r="V101" s="25">
        <v>16.100000000000001</v>
      </c>
      <c r="W101" s="47">
        <f>V101*$A$3</f>
        <v>7.3028312000000009</v>
      </c>
      <c r="X101" s="44">
        <v>57.1</v>
      </c>
      <c r="Y101" s="54">
        <v>0.56999999999999995</v>
      </c>
      <c r="Z101" s="47">
        <f>IF(Y101&gt;0,(Y101*$A$3),"")</f>
        <v>0.25854743999999996</v>
      </c>
      <c r="AA101" s="1">
        <v>0.31</v>
      </c>
      <c r="AB101" s="47">
        <f>IF(AA101&gt;0,(AA101*$A$3),"")</f>
        <v>0.14061351999999999</v>
      </c>
      <c r="AC101" s="1">
        <v>9.1999999999999993</v>
      </c>
      <c r="AD101" s="1">
        <v>0.33</v>
      </c>
      <c r="AE101" s="6">
        <v>0.17</v>
      </c>
    </row>
    <row r="102" spans="1:31">
      <c r="A102" s="3"/>
      <c r="C102" s="47" t="str">
        <f>IF(B102&gt;0,(B102*$A$3),"")</f>
        <v/>
      </c>
      <c r="D102" s="1">
        <v>700</v>
      </c>
      <c r="E102" s="47">
        <f>IF(D102&gt;0,(D102*$A$3),"")</f>
        <v>317.51440000000002</v>
      </c>
      <c r="H102" s="1">
        <v>1.5</v>
      </c>
      <c r="I102" s="47">
        <f>IF(H102&gt;0,(H102*$A$3),"")</f>
        <v>0.68038799999999999</v>
      </c>
      <c r="J102" s="32">
        <v>10.28</v>
      </c>
      <c r="K102" s="25">
        <v>5.9</v>
      </c>
      <c r="L102" s="25">
        <v>2.4</v>
      </c>
      <c r="M102" s="25">
        <v>1.53</v>
      </c>
      <c r="N102" s="25">
        <v>5.3999999999999999E-2</v>
      </c>
      <c r="O102" s="33">
        <v>2.9000000000000001E-2</v>
      </c>
      <c r="P102" s="51">
        <f>J102*$A$3</f>
        <v>4.6629257599999994</v>
      </c>
      <c r="Q102" s="51">
        <f t="shared" si="2"/>
        <v>5.9</v>
      </c>
      <c r="R102" s="51">
        <f>L102*$A$3</f>
        <v>1.0886207999999999</v>
      </c>
      <c r="S102" s="51">
        <f>M102*$A$3</f>
        <v>0.69399575999999996</v>
      </c>
      <c r="T102" s="51">
        <f>N102*$A$3</f>
        <v>2.4493967999999998E-2</v>
      </c>
      <c r="U102" s="51">
        <f>O102*$A$3</f>
        <v>1.3154168000000001E-2</v>
      </c>
      <c r="V102" s="25">
        <v>18</v>
      </c>
      <c r="W102" s="47">
        <f>V102*$A$3</f>
        <v>8.1646560000000008</v>
      </c>
      <c r="X102" s="44">
        <v>57</v>
      </c>
      <c r="Y102" s="54">
        <v>0.56999999999999995</v>
      </c>
      <c r="Z102" s="47">
        <f>IF(Y102&gt;0,(Y102*$A$3),"")</f>
        <v>0.25854743999999996</v>
      </c>
      <c r="AA102" s="1">
        <v>0.31</v>
      </c>
      <c r="AB102" s="47">
        <f>IF(AA102&gt;0,(AA102*$A$3),"")</f>
        <v>0.14061351999999999</v>
      </c>
      <c r="AC102" s="1">
        <v>8.5</v>
      </c>
      <c r="AD102" s="1">
        <v>0.3</v>
      </c>
      <c r="AE102" s="6">
        <v>0.16</v>
      </c>
    </row>
    <row r="103" spans="1:31">
      <c r="A103" s="3"/>
      <c r="C103" s="47" t="str">
        <f>IF(B103&gt;0,(B103*$A$3),"")</f>
        <v/>
      </c>
      <c r="D103" s="1">
        <v>800</v>
      </c>
      <c r="E103" s="47">
        <f>IF(D103&gt;0,(D103*$A$3),"")</f>
        <v>362.87360000000001</v>
      </c>
      <c r="H103" s="1">
        <v>1.5</v>
      </c>
      <c r="I103" s="47">
        <f>IF(H103&gt;0,(H103*$A$3),"")</f>
        <v>0.68038799999999999</v>
      </c>
      <c r="J103" s="32">
        <v>11.35</v>
      </c>
      <c r="K103" s="25">
        <v>6.5</v>
      </c>
      <c r="L103" s="25">
        <v>2.6</v>
      </c>
      <c r="M103" s="25">
        <v>1.58</v>
      </c>
      <c r="N103" s="25">
        <v>5.3999999999999999E-2</v>
      </c>
      <c r="O103" s="33">
        <v>0.03</v>
      </c>
      <c r="P103" s="51">
        <f>J103*$A$3</f>
        <v>5.1482691999999997</v>
      </c>
      <c r="Q103" s="51">
        <f t="shared" si="2"/>
        <v>6.5</v>
      </c>
      <c r="R103" s="51">
        <f>L103*$A$3</f>
        <v>1.1793392</v>
      </c>
      <c r="S103" s="51">
        <f>M103*$A$3</f>
        <v>0.71667535999999998</v>
      </c>
      <c r="T103" s="51">
        <f>N103*$A$3</f>
        <v>2.4493967999999998E-2</v>
      </c>
      <c r="U103" s="51">
        <f>O103*$A$3</f>
        <v>1.360776E-2</v>
      </c>
      <c r="V103" s="25">
        <v>19.899999999999999</v>
      </c>
      <c r="W103" s="47">
        <f>V103*$A$3</f>
        <v>9.0264807999999999</v>
      </c>
      <c r="X103" s="44">
        <v>56.9</v>
      </c>
      <c r="Y103" s="54">
        <v>0.56999999999999995</v>
      </c>
      <c r="Z103" s="47">
        <f>IF(Y103&gt;0,(Y103*$A$3),"")</f>
        <v>0.25854743999999996</v>
      </c>
      <c r="AA103" s="1">
        <v>0.31</v>
      </c>
      <c r="AB103" s="47">
        <f>IF(AA103&gt;0,(AA103*$A$3),"")</f>
        <v>0.14061351999999999</v>
      </c>
      <c r="AC103" s="1">
        <v>7.9</v>
      </c>
      <c r="AD103" s="1">
        <v>0.27</v>
      </c>
      <c r="AE103" s="6">
        <v>0.15</v>
      </c>
    </row>
    <row r="104" spans="1:31">
      <c r="A104" s="3"/>
      <c r="C104" s="47" t="str">
        <f>IF(B104&gt;0,(B104*$A$3),"")</f>
        <v/>
      </c>
      <c r="D104" s="1">
        <v>900</v>
      </c>
      <c r="E104" s="47">
        <f>IF(D104&gt;0,(D104*$A$3),"")</f>
        <v>408.2328</v>
      </c>
      <c r="H104" s="1">
        <v>1.5</v>
      </c>
      <c r="I104" s="47">
        <f>IF(H104&gt;0,(H104*$A$3),"")</f>
        <v>0.68038799999999999</v>
      </c>
      <c r="J104" s="32">
        <v>12.4</v>
      </c>
      <c r="K104" s="25">
        <v>7.1</v>
      </c>
      <c r="L104" s="25">
        <v>2.9</v>
      </c>
      <c r="M104" s="25">
        <v>1.63</v>
      </c>
      <c r="N104" s="25">
        <v>5.5E-2</v>
      </c>
      <c r="O104" s="33">
        <v>3.2000000000000001E-2</v>
      </c>
      <c r="P104" s="51">
        <f>J104*$A$3</f>
        <v>5.6245408000000001</v>
      </c>
      <c r="Q104" s="51">
        <f t="shared" si="2"/>
        <v>7.1</v>
      </c>
      <c r="R104" s="51">
        <f>L104*$A$3</f>
        <v>1.3154167999999999</v>
      </c>
      <c r="S104" s="51">
        <f>M104*$A$3</f>
        <v>0.73935495999999989</v>
      </c>
      <c r="T104" s="51">
        <f>N104*$A$3</f>
        <v>2.4947560000000001E-2</v>
      </c>
      <c r="U104" s="51">
        <f>O104*$A$3</f>
        <v>1.4514944E-2</v>
      </c>
      <c r="V104" s="25">
        <v>21.8</v>
      </c>
      <c r="W104" s="47">
        <f>V104*$A$3</f>
        <v>9.8883056000000007</v>
      </c>
      <c r="X104" s="44">
        <v>56.9</v>
      </c>
      <c r="Y104" s="54">
        <v>0.56999999999999995</v>
      </c>
      <c r="Z104" s="47">
        <f>IF(Y104&gt;0,(Y104*$A$3),"")</f>
        <v>0.25854743999999996</v>
      </c>
      <c r="AA104" s="1">
        <v>0.31</v>
      </c>
      <c r="AB104" s="47">
        <f>IF(AA104&gt;0,(AA104*$A$3),"")</f>
        <v>0.14061351999999999</v>
      </c>
      <c r="AC104" s="1">
        <v>7.5</v>
      </c>
      <c r="AD104" s="1">
        <v>0.25</v>
      </c>
      <c r="AE104" s="6">
        <v>0.15</v>
      </c>
    </row>
    <row r="105" spans="1:31">
      <c r="A105" s="3"/>
      <c r="C105" s="47" t="str">
        <f>IF(B105&gt;0,(B105*$A$3),"")</f>
        <v/>
      </c>
      <c r="D105" s="15">
        <v>1000</v>
      </c>
      <c r="E105" s="47">
        <f>IF(D105&gt;0,(D105*$A$3),"")</f>
        <v>453.59199999999998</v>
      </c>
      <c r="F105" s="15"/>
      <c r="G105" s="15"/>
      <c r="H105" s="1">
        <v>1.5</v>
      </c>
      <c r="I105" s="47">
        <f>IF(H105&gt;0,(H105*$A$3),"")</f>
        <v>0.68038799999999999</v>
      </c>
      <c r="J105" s="32">
        <v>13.43</v>
      </c>
      <c r="K105" s="25">
        <v>7.7</v>
      </c>
      <c r="L105" s="25">
        <v>3.1</v>
      </c>
      <c r="M105" s="25">
        <v>1.68</v>
      </c>
      <c r="N105" s="25">
        <v>5.6000000000000001E-2</v>
      </c>
      <c r="O105" s="33">
        <v>3.3000000000000002E-2</v>
      </c>
      <c r="P105" s="51">
        <f>J105*$A$3</f>
        <v>6.0917405599999999</v>
      </c>
      <c r="Q105" s="51">
        <f t="shared" si="2"/>
        <v>7.7</v>
      </c>
      <c r="R105" s="51">
        <f>L105*$A$3</f>
        <v>1.4061352</v>
      </c>
      <c r="S105" s="51">
        <f>M105*$A$3</f>
        <v>0.76203455999999992</v>
      </c>
      <c r="T105" s="51">
        <f>N105*$A$3</f>
        <v>2.5401152E-2</v>
      </c>
      <c r="U105" s="51">
        <f>O105*$A$3</f>
        <v>1.4968536000000001E-2</v>
      </c>
      <c r="V105" s="25">
        <v>23.6</v>
      </c>
      <c r="W105" s="47">
        <f>V105*$A$3</f>
        <v>10.7047712</v>
      </c>
      <c r="X105" s="44">
        <v>56.9</v>
      </c>
      <c r="Y105" s="54">
        <v>0.56999999999999995</v>
      </c>
      <c r="Z105" s="47">
        <f>IF(Y105&gt;0,(Y105*$A$3),"")</f>
        <v>0.25854743999999996</v>
      </c>
      <c r="AA105" s="1">
        <v>0.31</v>
      </c>
      <c r="AB105" s="47">
        <f>IF(AA105&gt;0,(AA105*$A$3),"")</f>
        <v>0.14061351999999999</v>
      </c>
      <c r="AC105" s="1">
        <v>7.1</v>
      </c>
      <c r="AD105" s="1">
        <v>0.24</v>
      </c>
      <c r="AE105" s="6">
        <v>0.14000000000000001</v>
      </c>
    </row>
    <row r="106" spans="1:31">
      <c r="A106" s="3"/>
      <c r="C106" s="47" t="str">
        <f>IF(B106&gt;0,(B106*$A$3),"")</f>
        <v/>
      </c>
      <c r="D106" s="15">
        <v>1100</v>
      </c>
      <c r="E106" s="47">
        <f>IF(D106&gt;0,(D106*$A$3),"")</f>
        <v>498.95119999999997</v>
      </c>
      <c r="F106" s="15"/>
      <c r="G106" s="15"/>
      <c r="H106" s="1">
        <v>1.5</v>
      </c>
      <c r="I106" s="47">
        <f>IF(H106&gt;0,(H106*$A$3),"")</f>
        <v>0.68038799999999999</v>
      </c>
      <c r="J106" s="32">
        <v>14.45</v>
      </c>
      <c r="K106" s="25">
        <v>8.3000000000000007</v>
      </c>
      <c r="L106" s="25">
        <v>3.4</v>
      </c>
      <c r="M106" s="25">
        <v>1.73</v>
      </c>
      <c r="N106" s="25">
        <v>5.7000000000000002E-2</v>
      </c>
      <c r="O106" s="33">
        <v>3.5000000000000003E-2</v>
      </c>
      <c r="P106" s="51">
        <f>J106*$A$3</f>
        <v>6.5544043999999992</v>
      </c>
      <c r="Q106" s="51">
        <f t="shared" si="2"/>
        <v>8.3000000000000007</v>
      </c>
      <c r="R106" s="51">
        <f>L106*$A$3</f>
        <v>1.5422127999999999</v>
      </c>
      <c r="S106" s="51">
        <f>M106*$A$3</f>
        <v>0.78471415999999994</v>
      </c>
      <c r="T106" s="51">
        <f>N106*$A$3</f>
        <v>2.5854743999999999E-2</v>
      </c>
      <c r="U106" s="51">
        <f>O106*$A$3</f>
        <v>1.5875720000000003E-2</v>
      </c>
      <c r="V106" s="25">
        <v>25.3</v>
      </c>
      <c r="W106" s="47">
        <f>V106*$A$3</f>
        <v>11.4758776</v>
      </c>
      <c r="X106" s="44">
        <v>57</v>
      </c>
      <c r="Y106" s="54">
        <v>0.56999999999999995</v>
      </c>
      <c r="Z106" s="47">
        <f>IF(Y106&gt;0,(Y106*$A$3),"")</f>
        <v>0.25854743999999996</v>
      </c>
      <c r="AA106" s="1">
        <v>0.31</v>
      </c>
      <c r="AB106" s="47">
        <f>IF(AA106&gt;0,(AA106*$A$3),"")</f>
        <v>0.14061351999999999</v>
      </c>
      <c r="AC106" s="1">
        <v>6.8</v>
      </c>
      <c r="AD106" s="1">
        <v>0.22</v>
      </c>
      <c r="AE106" s="6">
        <v>0.14000000000000001</v>
      </c>
    </row>
    <row r="107" spans="1:31">
      <c r="A107" s="3"/>
      <c r="C107" s="47" t="str">
        <f>IF(B107&gt;0,(B107*$A$3),"")</f>
        <v/>
      </c>
      <c r="D107" s="1">
        <v>600</v>
      </c>
      <c r="E107" s="47">
        <f>IF(D107&gt;0,(D107*$A$3),"")</f>
        <v>272.15519999999998</v>
      </c>
      <c r="H107" s="1">
        <v>2</v>
      </c>
      <c r="I107" s="47">
        <f>IF(H107&gt;0,(H107*$A$3),"")</f>
        <v>0.90718399999999999</v>
      </c>
      <c r="J107" s="32">
        <v>9.91</v>
      </c>
      <c r="K107" s="25">
        <v>5.3</v>
      </c>
      <c r="L107" s="25">
        <v>2.9</v>
      </c>
      <c r="M107" s="25">
        <v>1.68</v>
      </c>
      <c r="N107" s="25">
        <v>6.4000000000000001E-2</v>
      </c>
      <c r="O107" s="33">
        <v>3.2000000000000001E-2</v>
      </c>
      <c r="P107" s="51">
        <f>J107*$A$3</f>
        <v>4.4950967200000003</v>
      </c>
      <c r="Q107" s="51">
        <f t="shared" si="2"/>
        <v>5.3</v>
      </c>
      <c r="R107" s="51">
        <f>L107*$A$3</f>
        <v>1.3154167999999999</v>
      </c>
      <c r="S107" s="51">
        <f>M107*$A$3</f>
        <v>0.76203455999999992</v>
      </c>
      <c r="T107" s="51">
        <f>N107*$A$3</f>
        <v>2.9029888E-2</v>
      </c>
      <c r="U107" s="51">
        <f>O107*$A$3</f>
        <v>1.4514944E-2</v>
      </c>
      <c r="V107" s="25">
        <v>16.100000000000001</v>
      </c>
      <c r="W107" s="47">
        <f>V107*$A$3</f>
        <v>7.3028312000000009</v>
      </c>
      <c r="X107" s="44">
        <v>61.4</v>
      </c>
      <c r="Y107" s="54">
        <v>0.64</v>
      </c>
      <c r="Z107" s="47">
        <f>IF(Y107&gt;0,(Y107*$A$3),"")</f>
        <v>0.29029887999999998</v>
      </c>
      <c r="AA107" s="1">
        <v>0.37</v>
      </c>
      <c r="AB107" s="47">
        <f>IF(AA107&gt;0,(AA107*$A$3),"")</f>
        <v>0.16782903999999998</v>
      </c>
      <c r="AC107" s="1">
        <v>10.4</v>
      </c>
      <c r="AD107" s="1">
        <v>0.4</v>
      </c>
      <c r="AE107" s="6">
        <v>0.2</v>
      </c>
    </row>
    <row r="108" spans="1:31">
      <c r="A108" s="3"/>
      <c r="C108" s="47" t="str">
        <f>IF(B108&gt;0,(B108*$A$3),"")</f>
        <v/>
      </c>
      <c r="D108" s="1">
        <v>700</v>
      </c>
      <c r="E108" s="47">
        <f>IF(D108&gt;0,(D108*$A$3),"")</f>
        <v>317.51440000000002</v>
      </c>
      <c r="H108" s="1">
        <v>2</v>
      </c>
      <c r="I108" s="47">
        <f>IF(H108&gt;0,(H108*$A$3),"")</f>
        <v>0.90718399999999999</v>
      </c>
      <c r="J108" s="32">
        <v>11.1</v>
      </c>
      <c r="K108" s="25">
        <v>5.9</v>
      </c>
      <c r="L108" s="25">
        <v>3.3</v>
      </c>
      <c r="M108" s="25">
        <v>1.72</v>
      </c>
      <c r="N108" s="25">
        <v>6.4000000000000001E-2</v>
      </c>
      <c r="O108" s="33">
        <v>3.3000000000000002E-2</v>
      </c>
      <c r="P108" s="51">
        <f>J108*$A$3</f>
        <v>5.0348711999999995</v>
      </c>
      <c r="Q108" s="51">
        <f t="shared" si="2"/>
        <v>5.9</v>
      </c>
      <c r="R108" s="51">
        <f>L108*$A$3</f>
        <v>1.4968535999999999</v>
      </c>
      <c r="S108" s="51">
        <f>M108*$A$3</f>
        <v>0.78017824000000002</v>
      </c>
      <c r="T108" s="51">
        <f>N108*$A$3</f>
        <v>2.9029888E-2</v>
      </c>
      <c r="U108" s="51">
        <f>O108*$A$3</f>
        <v>1.4968536000000001E-2</v>
      </c>
      <c r="V108" s="25">
        <v>18.100000000000001</v>
      </c>
      <c r="W108" s="47">
        <f>V108*$A$3</f>
        <v>8.2100152000000008</v>
      </c>
      <c r="X108" s="44">
        <v>61.3</v>
      </c>
      <c r="Y108" s="54">
        <v>0.64</v>
      </c>
      <c r="Z108" s="47">
        <f>IF(Y108&gt;0,(Y108*$A$3),"")</f>
        <v>0.29029887999999998</v>
      </c>
      <c r="AA108" s="1">
        <v>0.37</v>
      </c>
      <c r="AB108" s="47">
        <f>IF(AA108&gt;0,(AA108*$A$3),"")</f>
        <v>0.16782903999999998</v>
      </c>
      <c r="AC108" s="1">
        <v>9.5</v>
      </c>
      <c r="AD108" s="1">
        <v>0.35</v>
      </c>
      <c r="AE108" s="6">
        <v>0.18</v>
      </c>
    </row>
    <row r="109" spans="1:31">
      <c r="A109" s="3"/>
      <c r="C109" s="47" t="str">
        <f>IF(B109&gt;0,(B109*$A$3),"")</f>
        <v/>
      </c>
      <c r="D109" s="1">
        <v>800</v>
      </c>
      <c r="E109" s="47">
        <f>IF(D109&gt;0,(D109*$A$3),"")</f>
        <v>362.87360000000001</v>
      </c>
      <c r="H109" s="1">
        <v>2</v>
      </c>
      <c r="I109" s="47">
        <f>IF(H109&gt;0,(H109*$A$3),"")</f>
        <v>0.90718399999999999</v>
      </c>
      <c r="J109" s="32">
        <v>12.25</v>
      </c>
      <c r="K109" s="25">
        <v>6.5</v>
      </c>
      <c r="L109" s="25">
        <v>3.6</v>
      </c>
      <c r="M109" s="25">
        <v>1.75</v>
      </c>
      <c r="N109" s="25">
        <v>6.3E-2</v>
      </c>
      <c r="O109" s="33">
        <v>3.4000000000000002E-2</v>
      </c>
      <c r="P109" s="51">
        <f>J109*$A$3</f>
        <v>5.5565020000000001</v>
      </c>
      <c r="Q109" s="51">
        <f t="shared" si="2"/>
        <v>6.5</v>
      </c>
      <c r="R109" s="51">
        <f>L109*$A$3</f>
        <v>1.6329312</v>
      </c>
      <c r="S109" s="51">
        <f>M109*$A$3</f>
        <v>0.79378599999999999</v>
      </c>
      <c r="T109" s="51">
        <f>N109*$A$3</f>
        <v>2.8576296000000001E-2</v>
      </c>
      <c r="U109" s="51">
        <f>O109*$A$3</f>
        <v>1.5422128E-2</v>
      </c>
      <c r="V109" s="25">
        <v>20</v>
      </c>
      <c r="W109" s="47">
        <f>V109*$A$3</f>
        <v>9.0718399999999999</v>
      </c>
      <c r="X109" s="44">
        <v>61.2</v>
      </c>
      <c r="Y109" s="54">
        <v>0.63</v>
      </c>
      <c r="Z109" s="47">
        <f>IF(Y109&gt;0,(Y109*$A$3),"")</f>
        <v>0.28576296000000001</v>
      </c>
      <c r="AA109" s="1">
        <v>0.37</v>
      </c>
      <c r="AB109" s="47">
        <f>IF(AA109&gt;0,(AA109*$A$3),"")</f>
        <v>0.16782903999999998</v>
      </c>
      <c r="AC109" s="1">
        <v>8.8000000000000007</v>
      </c>
      <c r="AD109" s="1">
        <v>0.32</v>
      </c>
      <c r="AE109" s="6">
        <v>0.17</v>
      </c>
    </row>
    <row r="110" spans="1:31">
      <c r="A110" s="3"/>
      <c r="C110" s="47" t="str">
        <f>IF(B110&gt;0,(B110*$A$3),"")</f>
        <v/>
      </c>
      <c r="D110" s="1">
        <v>900</v>
      </c>
      <c r="E110" s="47">
        <f>IF(D110&gt;0,(D110*$A$3),"")</f>
        <v>408.2328</v>
      </c>
      <c r="H110" s="1">
        <v>2</v>
      </c>
      <c r="I110" s="47">
        <f>IF(H110&gt;0,(H110*$A$3),"")</f>
        <v>0.90718399999999999</v>
      </c>
      <c r="J110" s="32">
        <v>13.39</v>
      </c>
      <c r="K110" s="25">
        <v>7.1</v>
      </c>
      <c r="L110" s="25">
        <v>4</v>
      </c>
      <c r="M110" s="25">
        <v>1.79</v>
      </c>
      <c r="N110" s="25">
        <v>6.3E-2</v>
      </c>
      <c r="O110" s="33">
        <v>3.5000000000000003E-2</v>
      </c>
      <c r="P110" s="51">
        <f>J110*$A$3</f>
        <v>6.0735968800000002</v>
      </c>
      <c r="Q110" s="51">
        <f t="shared" si="2"/>
        <v>7.1</v>
      </c>
      <c r="R110" s="51">
        <f>L110*$A$3</f>
        <v>1.814368</v>
      </c>
      <c r="S110" s="51">
        <f>M110*$A$3</f>
        <v>0.81192967999999999</v>
      </c>
      <c r="T110" s="51">
        <f>N110*$A$3</f>
        <v>2.8576296000000001E-2</v>
      </c>
      <c r="U110" s="51">
        <f>O110*$A$3</f>
        <v>1.5875720000000003E-2</v>
      </c>
      <c r="V110" s="25">
        <v>21.9</v>
      </c>
      <c r="W110" s="47">
        <f>V110*$A$3</f>
        <v>9.933664799999999</v>
      </c>
      <c r="X110" s="44">
        <v>61.2</v>
      </c>
      <c r="Y110" s="54">
        <v>0.63</v>
      </c>
      <c r="Z110" s="47">
        <f>IF(Y110&gt;0,(Y110*$A$3),"")</f>
        <v>0.28576296000000001</v>
      </c>
      <c r="AA110" s="1">
        <v>0.37</v>
      </c>
      <c r="AB110" s="47">
        <f>IF(AA110&gt;0,(AA110*$A$3),"")</f>
        <v>0.16782903999999998</v>
      </c>
      <c r="AC110" s="1">
        <v>8.1999999999999993</v>
      </c>
      <c r="AD110" s="1">
        <v>0.28999999999999998</v>
      </c>
      <c r="AE110" s="6">
        <v>0.16</v>
      </c>
    </row>
    <row r="111" spans="1:31">
      <c r="A111" s="3"/>
      <c r="C111" s="47" t="str">
        <f>IF(B111&gt;0,(B111*$A$3),"")</f>
        <v/>
      </c>
      <c r="D111" s="15">
        <v>1000</v>
      </c>
      <c r="E111" s="47">
        <f>IF(D111&gt;0,(D111*$A$3),"")</f>
        <v>453.59199999999998</v>
      </c>
      <c r="F111" s="15"/>
      <c r="G111" s="15"/>
      <c r="H111" s="1">
        <v>2</v>
      </c>
      <c r="I111" s="47">
        <f>IF(H111&gt;0,(H111*$A$3),"")</f>
        <v>0.90718399999999999</v>
      </c>
      <c r="J111" s="32">
        <v>14.5</v>
      </c>
      <c r="K111" s="25">
        <v>7.7</v>
      </c>
      <c r="L111" s="25">
        <v>4.3</v>
      </c>
      <c r="M111" s="25">
        <v>1.82</v>
      </c>
      <c r="N111" s="25">
        <v>6.3E-2</v>
      </c>
      <c r="O111" s="33">
        <v>3.5999999999999997E-2</v>
      </c>
      <c r="P111" s="51">
        <f>J111*$A$3</f>
        <v>6.5770840000000002</v>
      </c>
      <c r="Q111" s="51">
        <f t="shared" si="2"/>
        <v>7.7</v>
      </c>
      <c r="R111" s="51">
        <f>L111*$A$3</f>
        <v>1.9504455999999999</v>
      </c>
      <c r="S111" s="51">
        <f>M111*$A$3</f>
        <v>0.82553744000000007</v>
      </c>
      <c r="T111" s="51">
        <f>N111*$A$3</f>
        <v>2.8576296000000001E-2</v>
      </c>
      <c r="U111" s="51">
        <f>O111*$A$3</f>
        <v>1.6329311999999999E-2</v>
      </c>
      <c r="V111" s="25">
        <v>23.7</v>
      </c>
      <c r="W111" s="47">
        <f>V111*$A$3</f>
        <v>10.7501304</v>
      </c>
      <c r="X111" s="44">
        <v>61.2</v>
      </c>
      <c r="Y111" s="54">
        <v>0.63</v>
      </c>
      <c r="Z111" s="47">
        <f>IF(Y111&gt;0,(Y111*$A$3),"")</f>
        <v>0.28576296000000001</v>
      </c>
      <c r="AA111" s="1">
        <v>0.37</v>
      </c>
      <c r="AB111" s="47">
        <f>IF(AA111&gt;0,(AA111*$A$3),"")</f>
        <v>0.16782903999999998</v>
      </c>
      <c r="AC111" s="1">
        <v>7.7</v>
      </c>
      <c r="AD111" s="1">
        <v>0.27</v>
      </c>
      <c r="AE111" s="6">
        <v>0.15</v>
      </c>
    </row>
    <row r="112" spans="1:31">
      <c r="A112" s="3"/>
      <c r="C112" s="47" t="str">
        <f>IF(B112&gt;0,(B112*$A$3),"")</f>
        <v/>
      </c>
      <c r="D112" s="15">
        <v>1100</v>
      </c>
      <c r="E112" s="47">
        <f>IF(D112&gt;0,(D112*$A$3),"")</f>
        <v>498.95119999999997</v>
      </c>
      <c r="F112" s="15"/>
      <c r="G112" s="15"/>
      <c r="H112" s="1">
        <v>2</v>
      </c>
      <c r="I112" s="47">
        <f>IF(H112&gt;0,(H112*$A$3),"")</f>
        <v>0.90718399999999999</v>
      </c>
      <c r="J112" s="32">
        <v>15.59</v>
      </c>
      <c r="K112" s="25">
        <v>8.3000000000000007</v>
      </c>
      <c r="L112" s="25">
        <v>4.5999999999999996</v>
      </c>
      <c r="M112" s="25">
        <v>1.86</v>
      </c>
      <c r="N112" s="25">
        <v>6.3E-2</v>
      </c>
      <c r="O112" s="33">
        <v>3.6999999999999998E-2</v>
      </c>
      <c r="P112" s="51">
        <f>J112*$A$3</f>
        <v>7.0714992800000003</v>
      </c>
      <c r="Q112" s="51">
        <f t="shared" si="2"/>
        <v>8.3000000000000007</v>
      </c>
      <c r="R112" s="51">
        <f>L112*$A$3</f>
        <v>2.0865231999999998</v>
      </c>
      <c r="S112" s="51">
        <f>M112*$A$3</f>
        <v>0.84368112000000006</v>
      </c>
      <c r="T112" s="51">
        <f>N112*$A$3</f>
        <v>2.8576296000000001E-2</v>
      </c>
      <c r="U112" s="51">
        <f>O112*$A$3</f>
        <v>1.6782903999999998E-2</v>
      </c>
      <c r="V112" s="25">
        <v>25.4</v>
      </c>
      <c r="W112" s="47">
        <f>V112*$A$3</f>
        <v>11.521236799999999</v>
      </c>
      <c r="X112" s="44">
        <v>61.3</v>
      </c>
      <c r="Y112" s="54">
        <v>0.64</v>
      </c>
      <c r="Z112" s="47">
        <f>IF(Y112&gt;0,(Y112*$A$3),"")</f>
        <v>0.29029887999999998</v>
      </c>
      <c r="AA112" s="1">
        <v>0.37</v>
      </c>
      <c r="AB112" s="47">
        <f>IF(AA112&gt;0,(AA112*$A$3),"")</f>
        <v>0.16782903999999998</v>
      </c>
      <c r="AC112" s="1">
        <v>7.3</v>
      </c>
      <c r="AD112" s="1">
        <v>0.25</v>
      </c>
      <c r="AE112" s="6">
        <v>0.15</v>
      </c>
    </row>
    <row r="113" spans="1:31">
      <c r="A113" s="3"/>
      <c r="C113" s="47" t="str">
        <f>IF(B113&gt;0,(B113*$A$3),"")</f>
        <v/>
      </c>
      <c r="D113" s="1">
        <v>600</v>
      </c>
      <c r="E113" s="47">
        <f>IF(D113&gt;0,(D113*$A$3),"")</f>
        <v>272.15519999999998</v>
      </c>
      <c r="H113" s="1">
        <v>2.5</v>
      </c>
      <c r="I113" s="47">
        <f>IF(H113&gt;0,(H113*$A$3),"")</f>
        <v>1.13398</v>
      </c>
      <c r="J113" s="32">
        <v>10.58</v>
      </c>
      <c r="K113" s="25">
        <v>5.3</v>
      </c>
      <c r="L113" s="25">
        <v>3.7</v>
      </c>
      <c r="M113" s="25">
        <v>1.88</v>
      </c>
      <c r="N113" s="25">
        <v>7.4999999999999997E-2</v>
      </c>
      <c r="O113" s="33">
        <v>3.6999999999999998E-2</v>
      </c>
      <c r="P113" s="51">
        <f>J113*$A$3</f>
        <v>4.7990033600000004</v>
      </c>
      <c r="Q113" s="51">
        <f t="shared" si="2"/>
        <v>5.3</v>
      </c>
      <c r="R113" s="51">
        <f>L113*$A$3</f>
        <v>1.6782904000000001</v>
      </c>
      <c r="S113" s="51">
        <f>M113*$A$3</f>
        <v>0.85275295999999989</v>
      </c>
      <c r="T113" s="51">
        <f>N113*$A$3</f>
        <v>3.4019399999999998E-2</v>
      </c>
      <c r="U113" s="51">
        <f>O113*$A$3</f>
        <v>1.6782903999999998E-2</v>
      </c>
      <c r="V113" s="25">
        <v>16</v>
      </c>
      <c r="W113" s="47">
        <f>V113*$A$3</f>
        <v>7.2574719999999999</v>
      </c>
      <c r="X113" s="44">
        <v>66.2</v>
      </c>
      <c r="Y113" s="54">
        <v>0.71</v>
      </c>
      <c r="Z113" s="47">
        <f>IF(Y113&gt;0,(Y113*$A$3),"")</f>
        <v>0.32205032</v>
      </c>
      <c r="AA113" s="1">
        <v>0.44</v>
      </c>
      <c r="AB113" s="47">
        <f>IF(AA113&gt;0,(AA113*$A$3),"")</f>
        <v>0.19958048</v>
      </c>
      <c r="AC113" s="1">
        <v>11.8</v>
      </c>
      <c r="AD113" s="1">
        <v>0.47</v>
      </c>
      <c r="AE113" s="6">
        <v>0.23</v>
      </c>
    </row>
    <row r="114" spans="1:31">
      <c r="A114" s="3"/>
      <c r="C114" s="47" t="str">
        <f>IF(B114&gt;0,(B114*$A$3),"")</f>
        <v/>
      </c>
      <c r="D114" s="1">
        <v>700</v>
      </c>
      <c r="E114" s="47">
        <f>IF(D114&gt;0,(D114*$A$3),"")</f>
        <v>317.51440000000002</v>
      </c>
      <c r="H114" s="1">
        <v>2.5</v>
      </c>
      <c r="I114" s="47">
        <f>IF(H114&gt;0,(H114*$A$3),"")</f>
        <v>1.13398</v>
      </c>
      <c r="J114" s="32">
        <v>11.86</v>
      </c>
      <c r="K114" s="25">
        <v>5.9</v>
      </c>
      <c r="L114" s="25">
        <v>4.2</v>
      </c>
      <c r="M114" s="25">
        <v>1.9</v>
      </c>
      <c r="N114" s="25">
        <v>7.3999999999999996E-2</v>
      </c>
      <c r="O114" s="33">
        <v>3.6999999999999998E-2</v>
      </c>
      <c r="P114" s="51">
        <f>J114*$A$3</f>
        <v>5.3796011199999993</v>
      </c>
      <c r="Q114" s="51">
        <f t="shared" si="2"/>
        <v>5.9</v>
      </c>
      <c r="R114" s="51">
        <f>L114*$A$3</f>
        <v>1.9050864000000001</v>
      </c>
      <c r="S114" s="51">
        <f>M114*$A$3</f>
        <v>0.86182479999999995</v>
      </c>
      <c r="T114" s="51">
        <f>N114*$A$3</f>
        <v>3.3565807999999996E-2</v>
      </c>
      <c r="U114" s="51">
        <f>O114*$A$3</f>
        <v>1.6782903999999998E-2</v>
      </c>
      <c r="V114" s="25">
        <v>18</v>
      </c>
      <c r="W114" s="47">
        <f>V114*$A$3</f>
        <v>8.1646560000000008</v>
      </c>
      <c r="X114" s="44">
        <v>66</v>
      </c>
      <c r="Y114" s="54">
        <v>0.71</v>
      </c>
      <c r="Z114" s="47">
        <f>IF(Y114&gt;0,(Y114*$A$3),"")</f>
        <v>0.32205032</v>
      </c>
      <c r="AA114" s="1">
        <v>0.44</v>
      </c>
      <c r="AB114" s="47">
        <f>IF(AA114&gt;0,(AA114*$A$3),"")</f>
        <v>0.19958048</v>
      </c>
      <c r="AC114" s="1">
        <v>10.6</v>
      </c>
      <c r="AD114" s="1">
        <v>0.41</v>
      </c>
      <c r="AE114" s="6">
        <v>0.21</v>
      </c>
    </row>
    <row r="115" spans="1:31">
      <c r="A115" s="3"/>
      <c r="C115" s="47" t="str">
        <f>IF(B115&gt;0,(B115*$A$3),"")</f>
        <v/>
      </c>
      <c r="D115" s="1">
        <v>800</v>
      </c>
      <c r="E115" s="47">
        <f>IF(D115&gt;0,(D115*$A$3),"")</f>
        <v>362.87360000000001</v>
      </c>
      <c r="H115" s="1">
        <v>2.5</v>
      </c>
      <c r="I115" s="47">
        <f>IF(H115&gt;0,(H115*$A$3),"")</f>
        <v>1.13398</v>
      </c>
      <c r="J115" s="32">
        <v>13.09</v>
      </c>
      <c r="K115" s="25">
        <v>6.5</v>
      </c>
      <c r="L115" s="25">
        <v>4.5999999999999996</v>
      </c>
      <c r="M115" s="25">
        <v>1.92</v>
      </c>
      <c r="N115" s="25">
        <v>7.2999999999999995E-2</v>
      </c>
      <c r="O115" s="33">
        <v>3.7999999999999999E-2</v>
      </c>
      <c r="P115" s="51">
        <f>J115*$A$3</f>
        <v>5.9375192800000001</v>
      </c>
      <c r="Q115" s="51">
        <f t="shared" si="2"/>
        <v>6.5</v>
      </c>
      <c r="R115" s="51">
        <f>L115*$A$3</f>
        <v>2.0865231999999998</v>
      </c>
      <c r="S115" s="51">
        <f>M115*$A$3</f>
        <v>0.87089664</v>
      </c>
      <c r="T115" s="51">
        <f>N115*$A$3</f>
        <v>3.3112216E-2</v>
      </c>
      <c r="U115" s="51">
        <f>O115*$A$3</f>
        <v>1.7236496E-2</v>
      </c>
      <c r="V115" s="25">
        <v>19.8</v>
      </c>
      <c r="W115" s="47">
        <f>V115*$A$3</f>
        <v>8.9811215999999998</v>
      </c>
      <c r="X115" s="44">
        <v>66</v>
      </c>
      <c r="Y115" s="54">
        <v>0.71</v>
      </c>
      <c r="Z115" s="47">
        <f>IF(Y115&gt;0,(Y115*$A$3),"")</f>
        <v>0.32205032</v>
      </c>
      <c r="AA115" s="1">
        <v>0.43</v>
      </c>
      <c r="AB115" s="47">
        <f>IF(AA115&gt;0,(AA115*$A$3),"")</f>
        <v>0.19504456000000001</v>
      </c>
      <c r="AC115" s="1">
        <v>9.6999999999999993</v>
      </c>
      <c r="AD115" s="1">
        <v>0.37</v>
      </c>
      <c r="AE115" s="6">
        <v>0.19</v>
      </c>
    </row>
    <row r="116" spans="1:31">
      <c r="A116" s="3"/>
      <c r="C116" s="47" t="str">
        <f>IF(B116&gt;0,(B116*$A$3),"")</f>
        <v/>
      </c>
      <c r="D116" s="1">
        <v>900</v>
      </c>
      <c r="E116" s="47">
        <f>IF(D116&gt;0,(D116*$A$3),"")</f>
        <v>408.2328</v>
      </c>
      <c r="H116" s="1">
        <v>2.5</v>
      </c>
      <c r="I116" s="47">
        <f>IF(H116&gt;0,(H116*$A$3),"")</f>
        <v>1.13398</v>
      </c>
      <c r="J116" s="32">
        <v>14.3</v>
      </c>
      <c r="K116" s="25">
        <v>7.1</v>
      </c>
      <c r="L116" s="25">
        <v>5</v>
      </c>
      <c r="M116" s="25">
        <v>1.94</v>
      </c>
      <c r="N116" s="25">
        <v>7.1999999999999995E-2</v>
      </c>
      <c r="O116" s="33">
        <v>3.7999999999999999E-2</v>
      </c>
      <c r="P116" s="51">
        <f>J116*$A$3</f>
        <v>6.4863656000000001</v>
      </c>
      <c r="Q116" s="51">
        <f t="shared" si="2"/>
        <v>7.1</v>
      </c>
      <c r="R116" s="51">
        <f>L116*$A$3</f>
        <v>2.26796</v>
      </c>
      <c r="S116" s="51">
        <f>M116*$A$3</f>
        <v>0.87996847999999994</v>
      </c>
      <c r="T116" s="51">
        <f>N116*$A$3</f>
        <v>3.2658623999999997E-2</v>
      </c>
      <c r="U116" s="51">
        <f>O116*$A$3</f>
        <v>1.7236496E-2</v>
      </c>
      <c r="V116" s="25">
        <v>21.7</v>
      </c>
      <c r="W116" s="47">
        <f>V116*$A$3</f>
        <v>9.8429463999999989</v>
      </c>
      <c r="X116" s="44">
        <v>65.900000000000006</v>
      </c>
      <c r="Y116" s="54">
        <v>0.71</v>
      </c>
      <c r="Z116" s="47">
        <f>IF(Y116&gt;0,(Y116*$A$3),"")</f>
        <v>0.32205032</v>
      </c>
      <c r="AA116" s="1">
        <v>0.43</v>
      </c>
      <c r="AB116" s="47">
        <f>IF(AA116&gt;0,(AA116*$A$3),"")</f>
        <v>0.19504456000000001</v>
      </c>
      <c r="AC116" s="1">
        <v>9</v>
      </c>
      <c r="AD116" s="1">
        <v>0.33</v>
      </c>
      <c r="AE116" s="6">
        <v>0.18</v>
      </c>
    </row>
    <row r="117" spans="1:31">
      <c r="A117" s="3"/>
      <c r="C117" s="47" t="str">
        <f>IF(B117&gt;0,(B117*$A$3),"")</f>
        <v/>
      </c>
      <c r="D117" s="15">
        <v>1000</v>
      </c>
      <c r="E117" s="47">
        <f>IF(D117&gt;0,(D117*$A$3),"")</f>
        <v>453.59199999999998</v>
      </c>
      <c r="F117" s="15"/>
      <c r="G117" s="15"/>
      <c r="H117" s="1">
        <v>2.5</v>
      </c>
      <c r="I117" s="47">
        <f>IF(H117&gt;0,(H117*$A$3),"")</f>
        <v>1.13398</v>
      </c>
      <c r="J117" s="32">
        <v>15.49</v>
      </c>
      <c r="K117" s="25">
        <v>7.7</v>
      </c>
      <c r="L117" s="25">
        <v>5.5</v>
      </c>
      <c r="M117" s="25">
        <v>1.96</v>
      </c>
      <c r="N117" s="25">
        <v>7.0999999999999994E-2</v>
      </c>
      <c r="O117" s="33">
        <v>3.9E-2</v>
      </c>
      <c r="P117" s="51">
        <f>J117*$A$3</f>
        <v>7.0261400800000002</v>
      </c>
      <c r="Q117" s="51">
        <f t="shared" si="2"/>
        <v>7.7</v>
      </c>
      <c r="R117" s="51">
        <f>L117*$A$3</f>
        <v>2.4947559999999998</v>
      </c>
      <c r="S117" s="51">
        <f>M117*$A$3</f>
        <v>0.88904032</v>
      </c>
      <c r="T117" s="51">
        <f>N117*$A$3</f>
        <v>3.2205031999999995E-2</v>
      </c>
      <c r="U117" s="51">
        <f>O117*$A$3</f>
        <v>1.7690088E-2</v>
      </c>
      <c r="V117" s="25">
        <v>23.5</v>
      </c>
      <c r="W117" s="47">
        <f>V117*$A$3</f>
        <v>10.659412</v>
      </c>
      <c r="X117" s="44">
        <v>66</v>
      </c>
      <c r="Y117" s="54">
        <v>0.71</v>
      </c>
      <c r="Z117" s="47">
        <f>IF(Y117&gt;0,(Y117*$A$3),"")</f>
        <v>0.32205032</v>
      </c>
      <c r="AA117" s="1">
        <v>0.43</v>
      </c>
      <c r="AB117" s="47">
        <f>IF(AA117&gt;0,(AA117*$A$3),"")</f>
        <v>0.19504456000000001</v>
      </c>
      <c r="AC117" s="1">
        <v>8.4</v>
      </c>
      <c r="AD117" s="1">
        <v>0.3</v>
      </c>
      <c r="AE117" s="6">
        <v>0.17</v>
      </c>
    </row>
    <row r="118" spans="1:31">
      <c r="A118" s="3"/>
      <c r="C118" s="47" t="str">
        <f>IF(B118&gt;0,(B118*$A$3),"")</f>
        <v/>
      </c>
      <c r="D118" s="15">
        <v>1100</v>
      </c>
      <c r="E118" s="47">
        <f>IF(D118&gt;0,(D118*$A$3),"")</f>
        <v>498.95119999999997</v>
      </c>
      <c r="F118" s="15"/>
      <c r="G118" s="15"/>
      <c r="H118" s="1">
        <v>2.5</v>
      </c>
      <c r="I118" s="47">
        <f>IF(H118&gt;0,(H118*$A$3),"")</f>
        <v>1.13398</v>
      </c>
      <c r="J118" s="32">
        <v>16.64</v>
      </c>
      <c r="K118" s="25">
        <v>8.3000000000000007</v>
      </c>
      <c r="L118" s="25">
        <v>5.9</v>
      </c>
      <c r="M118" s="25">
        <v>1.98</v>
      </c>
      <c r="N118" s="25">
        <v>7.0000000000000007E-2</v>
      </c>
      <c r="O118" s="33">
        <v>0.04</v>
      </c>
      <c r="P118" s="51">
        <f>J118*$A$3</f>
        <v>7.5477708799999998</v>
      </c>
      <c r="Q118" s="51">
        <f t="shared" si="2"/>
        <v>8.3000000000000007</v>
      </c>
      <c r="R118" s="51">
        <f>L118*$A$3</f>
        <v>2.6761927999999999</v>
      </c>
      <c r="S118" s="51">
        <f>M118*$A$3</f>
        <v>0.89811215999999994</v>
      </c>
      <c r="T118" s="51">
        <f>N118*$A$3</f>
        <v>3.1751440000000006E-2</v>
      </c>
      <c r="U118" s="51">
        <f>O118*$A$3</f>
        <v>1.8143679999999999E-2</v>
      </c>
      <c r="V118" s="25">
        <v>25.2</v>
      </c>
      <c r="W118" s="47">
        <f>V118*$A$3</f>
        <v>11.4305184</v>
      </c>
      <c r="X118" s="44">
        <v>66</v>
      </c>
      <c r="Y118" s="54">
        <v>0.71</v>
      </c>
      <c r="Z118" s="47">
        <f>IF(Y118&gt;0,(Y118*$A$3),"")</f>
        <v>0.32205032</v>
      </c>
      <c r="AA118" s="1">
        <v>0.44</v>
      </c>
      <c r="AB118" s="47">
        <f>IF(AA118&gt;0,(AA118*$A$3),"")</f>
        <v>0.19958048</v>
      </c>
      <c r="AC118" s="1">
        <v>7.9</v>
      </c>
      <c r="AD118" s="1">
        <v>0.28000000000000003</v>
      </c>
      <c r="AE118" s="6">
        <v>0.16</v>
      </c>
    </row>
    <row r="119" spans="1:31">
      <c r="A119" s="3"/>
      <c r="C119" s="47" t="str">
        <f>IF(B119&gt;0,(B119*$A$3),"")</f>
        <v/>
      </c>
      <c r="D119" s="1">
        <v>600</v>
      </c>
      <c r="E119" s="47">
        <f>IF(D119&gt;0,(D119*$A$3),"")</f>
        <v>272.15519999999998</v>
      </c>
      <c r="H119" s="1">
        <v>3</v>
      </c>
      <c r="I119" s="47">
        <f>IF(H119&gt;0,(H119*$A$3),"")</f>
        <v>1.360776</v>
      </c>
      <c r="J119" s="32">
        <v>11.21</v>
      </c>
      <c r="K119" s="25">
        <v>5.3</v>
      </c>
      <c r="L119" s="25">
        <v>4.5</v>
      </c>
      <c r="M119" s="25">
        <v>2.08</v>
      </c>
      <c r="N119" s="25">
        <v>8.5999999999999993E-2</v>
      </c>
      <c r="O119" s="33">
        <v>4.1000000000000002E-2</v>
      </c>
      <c r="P119" s="51">
        <f>J119*$A$3</f>
        <v>5.08476632</v>
      </c>
      <c r="Q119" s="51">
        <f t="shared" si="2"/>
        <v>5.3</v>
      </c>
      <c r="R119" s="51">
        <f>L119*$A$3</f>
        <v>2.0411640000000002</v>
      </c>
      <c r="S119" s="51">
        <f>M119*$A$3</f>
        <v>0.94347135999999998</v>
      </c>
      <c r="T119" s="51">
        <f>N119*$A$3</f>
        <v>3.9008912E-2</v>
      </c>
      <c r="U119" s="51">
        <f>O119*$A$3</f>
        <v>1.8597272000000001E-2</v>
      </c>
      <c r="V119" s="25">
        <v>15.6</v>
      </c>
      <c r="W119" s="47">
        <f>V119*$A$3</f>
        <v>7.0760351999999997</v>
      </c>
      <c r="X119" s="44">
        <v>71.8</v>
      </c>
      <c r="Y119" s="54">
        <v>0.79</v>
      </c>
      <c r="Z119" s="47">
        <f>IF(Y119&gt;0,(Y119*$A$3),"")</f>
        <v>0.35833767999999999</v>
      </c>
      <c r="AA119" s="1">
        <v>0.51</v>
      </c>
      <c r="AB119" s="47">
        <f>IF(AA119&gt;0,(AA119*$A$3),"")</f>
        <v>0.23133192</v>
      </c>
      <c r="AC119" s="1">
        <v>13.3</v>
      </c>
      <c r="AD119" s="1">
        <v>0.55000000000000004</v>
      </c>
      <c r="AE119" s="6">
        <v>0.26</v>
      </c>
    </row>
    <row r="120" spans="1:31">
      <c r="A120" s="3"/>
      <c r="C120" s="47" t="str">
        <f>IF(B120&gt;0,(B120*$A$3),"")</f>
        <v/>
      </c>
      <c r="D120" s="1">
        <v>700</v>
      </c>
      <c r="E120" s="47">
        <f>IF(D120&gt;0,(D120*$A$3),"")</f>
        <v>317.51440000000002</v>
      </c>
      <c r="H120" s="1">
        <v>3</v>
      </c>
      <c r="I120" s="47">
        <f>IF(H120&gt;0,(H120*$A$3),"")</f>
        <v>1.360776</v>
      </c>
      <c r="J120" s="32">
        <v>12.56</v>
      </c>
      <c r="K120" s="25">
        <v>5.9</v>
      </c>
      <c r="L120" s="25">
        <v>5.0999999999999996</v>
      </c>
      <c r="M120" s="25">
        <v>2.09</v>
      </c>
      <c r="N120" s="25">
        <v>8.3000000000000004E-2</v>
      </c>
      <c r="O120" s="33">
        <v>4.1000000000000002E-2</v>
      </c>
      <c r="P120" s="51">
        <f>J120*$A$3</f>
        <v>5.6971155200000005</v>
      </c>
      <c r="Q120" s="51">
        <f t="shared" si="2"/>
        <v>5.9</v>
      </c>
      <c r="R120" s="51">
        <f>L120*$A$3</f>
        <v>2.3133192</v>
      </c>
      <c r="S120" s="51">
        <f>M120*$A$3</f>
        <v>0.9480072799999999</v>
      </c>
      <c r="T120" s="51">
        <f>N120*$A$3</f>
        <v>3.7648135999999999E-2</v>
      </c>
      <c r="U120" s="51">
        <f>O120*$A$3</f>
        <v>1.8597272000000001E-2</v>
      </c>
      <c r="V120" s="25">
        <v>17.600000000000001</v>
      </c>
      <c r="W120" s="47">
        <f>V120*$A$3</f>
        <v>7.9832192000000006</v>
      </c>
      <c r="X120" s="44">
        <v>71.599999999999994</v>
      </c>
      <c r="Y120" s="54">
        <v>0.79</v>
      </c>
      <c r="Z120" s="47">
        <f>IF(Y120&gt;0,(Y120*$A$3),"")</f>
        <v>0.35833767999999999</v>
      </c>
      <c r="AA120" s="1">
        <v>0.51</v>
      </c>
      <c r="AB120" s="47">
        <f>IF(AA120&gt;0,(AA120*$A$3),"")</f>
        <v>0.23133192</v>
      </c>
      <c r="AC120" s="1">
        <v>11.9</v>
      </c>
      <c r="AD120" s="1">
        <v>0.48</v>
      </c>
      <c r="AE120" s="6">
        <v>0.23</v>
      </c>
    </row>
    <row r="121" spans="1:31">
      <c r="A121" s="3"/>
      <c r="C121" s="47" t="str">
        <f>IF(B121&gt;0,(B121*$A$3),"")</f>
        <v/>
      </c>
      <c r="D121" s="1">
        <v>800</v>
      </c>
      <c r="E121" s="47">
        <f>IF(D121&gt;0,(D121*$A$3),"")</f>
        <v>362.87360000000001</v>
      </c>
      <c r="H121" s="1">
        <v>3</v>
      </c>
      <c r="I121" s="47">
        <f>IF(H121&gt;0,(H121*$A$3),"")</f>
        <v>1.360776</v>
      </c>
      <c r="J121" s="32">
        <v>13.88</v>
      </c>
      <c r="K121" s="25">
        <v>6.5</v>
      </c>
      <c r="L121" s="25">
        <v>5.6</v>
      </c>
      <c r="M121" s="25">
        <v>2.09</v>
      </c>
      <c r="N121" s="25">
        <v>8.1000000000000003E-2</v>
      </c>
      <c r="O121" s="33">
        <v>4.1000000000000002E-2</v>
      </c>
      <c r="P121" s="51">
        <f>J121*$A$3</f>
        <v>6.2958569600000001</v>
      </c>
      <c r="Q121" s="51">
        <f t="shared" si="2"/>
        <v>6.5</v>
      </c>
      <c r="R121" s="51">
        <f>L121*$A$3</f>
        <v>2.5401151999999998</v>
      </c>
      <c r="S121" s="51">
        <f>M121*$A$3</f>
        <v>0.9480072799999999</v>
      </c>
      <c r="T121" s="51">
        <f>N121*$A$3</f>
        <v>3.6740952E-2</v>
      </c>
      <c r="U121" s="51">
        <f>O121*$A$3</f>
        <v>1.8597272000000001E-2</v>
      </c>
      <c r="V121" s="25">
        <v>19.399999999999999</v>
      </c>
      <c r="W121" s="47">
        <f>V121*$A$3</f>
        <v>8.7996847999999996</v>
      </c>
      <c r="X121" s="44">
        <v>71.5</v>
      </c>
      <c r="Y121" s="54">
        <v>0.79</v>
      </c>
      <c r="Z121" s="47">
        <f>IF(Y121&gt;0,(Y121*$A$3),"")</f>
        <v>0.35833767999999999</v>
      </c>
      <c r="AA121" s="1">
        <v>0.51</v>
      </c>
      <c r="AB121" s="47">
        <f>IF(AA121&gt;0,(AA121*$A$3),"")</f>
        <v>0.23133192</v>
      </c>
      <c r="AC121" s="1">
        <v>10.8</v>
      </c>
      <c r="AD121" s="1">
        <v>0.42</v>
      </c>
      <c r="AE121" s="6">
        <v>0.21</v>
      </c>
    </row>
    <row r="122" spans="1:31">
      <c r="A122" s="3"/>
      <c r="C122" s="47" t="str">
        <f>IF(B122&gt;0,(B122*$A$3),"")</f>
        <v/>
      </c>
      <c r="D122" s="1">
        <v>900</v>
      </c>
      <c r="E122" s="47">
        <f>IF(D122&gt;0,(D122*$A$3),"")</f>
        <v>408.2328</v>
      </c>
      <c r="H122" s="1">
        <v>3</v>
      </c>
      <c r="I122" s="47">
        <f>IF(H122&gt;0,(H122*$A$3),"")</f>
        <v>1.360776</v>
      </c>
      <c r="J122" s="32">
        <v>15.16</v>
      </c>
      <c r="K122" s="25">
        <v>7.1</v>
      </c>
      <c r="L122" s="25">
        <v>6.2</v>
      </c>
      <c r="M122" s="25">
        <v>2.09</v>
      </c>
      <c r="N122" s="25">
        <v>0.08</v>
      </c>
      <c r="O122" s="33">
        <v>4.2000000000000003E-2</v>
      </c>
      <c r="P122" s="51">
        <f>J122*$A$3</f>
        <v>6.8764547199999999</v>
      </c>
      <c r="Q122" s="51">
        <f t="shared" si="2"/>
        <v>7.1</v>
      </c>
      <c r="R122" s="51">
        <f>L122*$A$3</f>
        <v>2.8122704000000001</v>
      </c>
      <c r="S122" s="51">
        <f>M122*$A$3</f>
        <v>0.9480072799999999</v>
      </c>
      <c r="T122" s="51">
        <f>N122*$A$3</f>
        <v>3.6287359999999998E-2</v>
      </c>
      <c r="U122" s="51">
        <f>O122*$A$3</f>
        <v>1.9050864000000001E-2</v>
      </c>
      <c r="V122" s="25">
        <v>21.2</v>
      </c>
      <c r="W122" s="47">
        <f>V122*$A$3</f>
        <v>9.6161504000000004</v>
      </c>
      <c r="X122" s="44">
        <v>71.5</v>
      </c>
      <c r="Y122" s="54">
        <v>0.79</v>
      </c>
      <c r="Z122" s="47">
        <f>IF(Y122&gt;0,(Y122*$A$3),"")</f>
        <v>0.35833767999999999</v>
      </c>
      <c r="AA122" s="1">
        <v>0.51</v>
      </c>
      <c r="AB122" s="47">
        <f>IF(AA122&gt;0,(AA122*$A$3),"")</f>
        <v>0.23133192</v>
      </c>
      <c r="AC122" s="1">
        <v>9.9</v>
      </c>
      <c r="AD122" s="1">
        <v>0.38</v>
      </c>
      <c r="AE122" s="6">
        <v>0.2</v>
      </c>
    </row>
    <row r="123" spans="1:31">
      <c r="A123" s="3"/>
      <c r="C123" s="47" t="str">
        <f>IF(B123&gt;0,(B123*$A$3),"")</f>
        <v/>
      </c>
      <c r="D123" s="15">
        <v>1000</v>
      </c>
      <c r="E123" s="47">
        <f>IF(D123&gt;0,(D123*$A$3),"")</f>
        <v>453.59199999999998</v>
      </c>
      <c r="F123" s="15"/>
      <c r="G123" s="15"/>
      <c r="H123" s="1">
        <v>3</v>
      </c>
      <c r="I123" s="47">
        <f>IF(H123&gt;0,(H123*$A$3),"")</f>
        <v>1.360776</v>
      </c>
      <c r="J123" s="32">
        <v>16.41</v>
      </c>
      <c r="K123" s="25">
        <v>7.7</v>
      </c>
      <c r="L123" s="25">
        <v>6.7</v>
      </c>
      <c r="M123" s="25">
        <v>2.1</v>
      </c>
      <c r="N123" s="25">
        <v>7.8E-2</v>
      </c>
      <c r="O123" s="33">
        <v>4.2000000000000003E-2</v>
      </c>
      <c r="P123" s="51">
        <f>J123*$A$3</f>
        <v>7.4434447199999996</v>
      </c>
      <c r="Q123" s="51">
        <f t="shared" si="2"/>
        <v>7.7</v>
      </c>
      <c r="R123" s="51">
        <f>L123*$A$3</f>
        <v>3.0390663999999998</v>
      </c>
      <c r="S123" s="51">
        <f>M123*$A$3</f>
        <v>0.95254320000000003</v>
      </c>
      <c r="T123" s="51">
        <f>N123*$A$3</f>
        <v>3.5380175999999999E-2</v>
      </c>
      <c r="U123" s="51">
        <f>O123*$A$3</f>
        <v>1.9050864000000001E-2</v>
      </c>
      <c r="V123" s="25">
        <v>22.9</v>
      </c>
      <c r="W123" s="47">
        <f>V123*$A$3</f>
        <v>10.387256799999999</v>
      </c>
      <c r="X123" s="44">
        <v>71.599999999999994</v>
      </c>
      <c r="Y123" s="54">
        <v>0.79</v>
      </c>
      <c r="Z123" s="47">
        <f>IF(Y123&gt;0,(Y123*$A$3),"")</f>
        <v>0.35833767999999999</v>
      </c>
      <c r="AA123" s="1">
        <v>0.51</v>
      </c>
      <c r="AB123" s="47">
        <f>IF(AA123&gt;0,(AA123*$A$3),"")</f>
        <v>0.23133192</v>
      </c>
      <c r="AC123" s="1">
        <v>9.1</v>
      </c>
      <c r="AD123" s="1">
        <v>0.34</v>
      </c>
      <c r="AE123" s="6">
        <v>0.18</v>
      </c>
    </row>
    <row r="124" spans="1:31">
      <c r="A124" s="3"/>
      <c r="C124" s="47" t="str">
        <f>IF(B124&gt;0,(B124*$A$3),"")</f>
        <v/>
      </c>
      <c r="D124" s="15">
        <v>1100</v>
      </c>
      <c r="E124" s="47">
        <f>IF(D124&gt;0,(D124*$A$3),"")</f>
        <v>498.95119999999997</v>
      </c>
      <c r="F124" s="15"/>
      <c r="G124" s="15"/>
      <c r="H124" s="1">
        <v>3</v>
      </c>
      <c r="I124" s="47">
        <f>IF(H124&gt;0,(H124*$A$3),"")</f>
        <v>1.360776</v>
      </c>
      <c r="J124" s="32">
        <v>17.64</v>
      </c>
      <c r="K124" s="25">
        <v>8.3000000000000007</v>
      </c>
      <c r="L124" s="25">
        <v>7.2</v>
      </c>
      <c r="M124" s="25">
        <v>2.1</v>
      </c>
      <c r="N124" s="25">
        <v>7.5999999999999998E-2</v>
      </c>
      <c r="O124" s="33">
        <v>4.2999999999999997E-2</v>
      </c>
      <c r="P124" s="51">
        <f>J124*$A$3</f>
        <v>8.0013628800000003</v>
      </c>
      <c r="Q124" s="51">
        <f t="shared" si="2"/>
        <v>8.3000000000000007</v>
      </c>
      <c r="R124" s="51">
        <f>L124*$A$3</f>
        <v>3.2658624000000001</v>
      </c>
      <c r="S124" s="51">
        <f>M124*$A$3</f>
        <v>0.95254320000000003</v>
      </c>
      <c r="T124" s="51">
        <f>N124*$A$3</f>
        <v>3.4472992000000001E-2</v>
      </c>
      <c r="U124" s="51">
        <f>O124*$A$3</f>
        <v>1.9504456E-2</v>
      </c>
      <c r="V124" s="25">
        <v>24.6</v>
      </c>
      <c r="W124" s="47">
        <f>V124*$A$3</f>
        <v>11.1583632</v>
      </c>
      <c r="X124" s="44">
        <v>71.599999999999994</v>
      </c>
      <c r="Y124" s="54">
        <v>0.79</v>
      </c>
      <c r="Z124" s="47">
        <f>IF(Y124&gt;0,(Y124*$A$3),"")</f>
        <v>0.35833767999999999</v>
      </c>
      <c r="AA124" s="1">
        <v>0.51</v>
      </c>
      <c r="AB124" s="47">
        <f>IF(AA124&gt;0,(AA124*$A$3),"")</f>
        <v>0.23133192</v>
      </c>
      <c r="AC124" s="1">
        <v>8.5</v>
      </c>
      <c r="AD124" s="1">
        <v>0.31</v>
      </c>
      <c r="AE124" s="6">
        <v>0.17</v>
      </c>
    </row>
    <row r="125" spans="1:31">
      <c r="A125" s="3"/>
      <c r="C125" s="47" t="str">
        <f>IF(B125&gt;0,(B125*$A$3),"")</f>
        <v/>
      </c>
      <c r="D125" s="1">
        <v>600</v>
      </c>
      <c r="E125" s="47">
        <f>IF(D125&gt;0,(D125*$A$3),"")</f>
        <v>272.15519999999998</v>
      </c>
      <c r="H125" s="1">
        <v>3.3</v>
      </c>
      <c r="I125" s="47">
        <f>IF(H125&gt;0,(H125*$A$3),"")</f>
        <v>1.4968535999999999</v>
      </c>
      <c r="J125" s="32">
        <v>11.58</v>
      </c>
      <c r="K125" s="25">
        <v>5.3</v>
      </c>
      <c r="L125" s="25">
        <v>5.0999999999999996</v>
      </c>
      <c r="M125" s="25">
        <v>2.2000000000000002</v>
      </c>
      <c r="N125" s="25">
        <v>9.1999999999999998E-2</v>
      </c>
      <c r="O125" s="33">
        <v>4.3999999999999997E-2</v>
      </c>
      <c r="P125" s="51">
        <f>J125*$A$3</f>
        <v>5.2525953599999999</v>
      </c>
      <c r="Q125" s="51">
        <f t="shared" si="2"/>
        <v>5.3</v>
      </c>
      <c r="R125" s="51">
        <f>L125*$A$3</f>
        <v>2.3133192</v>
      </c>
      <c r="S125" s="51">
        <f>M125*$A$3</f>
        <v>0.99790240000000008</v>
      </c>
      <c r="T125" s="51">
        <f>N125*$A$3</f>
        <v>4.1730464000000002E-2</v>
      </c>
      <c r="U125" s="51">
        <f>O125*$A$3</f>
        <v>1.9958047999999999E-2</v>
      </c>
      <c r="V125" s="25">
        <v>15.3</v>
      </c>
      <c r="W125" s="47">
        <f>V125*$A$3</f>
        <v>6.9399576000000005</v>
      </c>
      <c r="X125" s="44">
        <v>75.8</v>
      </c>
      <c r="Y125" s="54">
        <v>0.85</v>
      </c>
      <c r="Z125" s="47">
        <f>IF(Y125&gt;0,(Y125*$A$3),"")</f>
        <v>0.38555319999999998</v>
      </c>
      <c r="AA125" s="1">
        <v>0.56000000000000005</v>
      </c>
      <c r="AB125" s="47">
        <f>IF(AA125&gt;0,(AA125*$A$3),"")</f>
        <v>0.25401152000000005</v>
      </c>
      <c r="AC125" s="1">
        <v>14.4</v>
      </c>
      <c r="AD125" s="1">
        <v>0.6</v>
      </c>
      <c r="AE125" s="6">
        <v>0.28000000000000003</v>
      </c>
    </row>
    <row r="126" spans="1:31">
      <c r="A126" s="3"/>
      <c r="C126" s="47" t="str">
        <f>IF(B126&gt;0,(B126*$A$3),"")</f>
        <v/>
      </c>
      <c r="D126" s="1">
        <v>700</v>
      </c>
      <c r="E126" s="47">
        <f>IF(D126&gt;0,(D126*$A$3),"")</f>
        <v>317.51440000000002</v>
      </c>
      <c r="H126" s="1">
        <v>3.3</v>
      </c>
      <c r="I126" s="47">
        <f>IF(H126&gt;0,(H126*$A$3),"")</f>
        <v>1.4968535999999999</v>
      </c>
      <c r="J126" s="32">
        <v>12.96</v>
      </c>
      <c r="K126" s="25">
        <v>5.9</v>
      </c>
      <c r="L126" s="25">
        <v>5.7</v>
      </c>
      <c r="M126" s="25">
        <v>2.19</v>
      </c>
      <c r="N126" s="25">
        <v>8.8999999999999996E-2</v>
      </c>
      <c r="O126" s="33">
        <v>4.2999999999999997E-2</v>
      </c>
      <c r="P126" s="51">
        <f>J126*$A$3</f>
        <v>5.8785523200000007</v>
      </c>
      <c r="Q126" s="51">
        <f t="shared" si="2"/>
        <v>5.9</v>
      </c>
      <c r="R126" s="51">
        <f>L126*$A$3</f>
        <v>2.5854743999999998</v>
      </c>
      <c r="S126" s="51">
        <f>M126*$A$3</f>
        <v>0.99336647999999994</v>
      </c>
      <c r="T126" s="51">
        <f>N126*$A$3</f>
        <v>4.0369688000000001E-2</v>
      </c>
      <c r="U126" s="51">
        <f>O126*$A$3</f>
        <v>1.9504456E-2</v>
      </c>
      <c r="V126" s="25">
        <v>17.2</v>
      </c>
      <c r="W126" s="47">
        <f>V126*$A$3</f>
        <v>7.8017823999999996</v>
      </c>
      <c r="X126" s="44">
        <v>75.5</v>
      </c>
      <c r="Y126" s="54">
        <v>0.84</v>
      </c>
      <c r="Z126" s="47">
        <f>IF(Y126&gt;0,(Y126*$A$3),"")</f>
        <v>0.38101727999999996</v>
      </c>
      <c r="AA126" s="1">
        <v>0.56000000000000005</v>
      </c>
      <c r="AB126" s="47">
        <f>IF(AA126&gt;0,(AA126*$A$3),"")</f>
        <v>0.25401152000000005</v>
      </c>
      <c r="AC126" s="1">
        <v>12.8</v>
      </c>
      <c r="AD126" s="1">
        <v>0.52</v>
      </c>
      <c r="AE126" s="6">
        <v>0.25</v>
      </c>
    </row>
    <row r="127" spans="1:31">
      <c r="A127" s="3"/>
      <c r="C127" s="47" t="str">
        <f>IF(B127&gt;0,(B127*$A$3),"")</f>
        <v/>
      </c>
      <c r="D127" s="1">
        <v>800</v>
      </c>
      <c r="E127" s="47">
        <f>IF(D127&gt;0,(D127*$A$3),"")</f>
        <v>362.87360000000001</v>
      </c>
      <c r="H127" s="1">
        <v>3.3</v>
      </c>
      <c r="I127" s="47">
        <f>IF(H127&gt;0,(H127*$A$3),"")</f>
        <v>1.4968535999999999</v>
      </c>
      <c r="J127" s="32">
        <v>14.32</v>
      </c>
      <c r="K127" s="25">
        <v>6.5</v>
      </c>
      <c r="L127" s="25">
        <v>6.3</v>
      </c>
      <c r="M127" s="25">
        <v>2.19</v>
      </c>
      <c r="N127" s="25">
        <v>8.6999999999999994E-2</v>
      </c>
      <c r="O127" s="33">
        <v>4.3999999999999997E-2</v>
      </c>
      <c r="P127" s="51">
        <f>J127*$A$3</f>
        <v>6.4954374399999999</v>
      </c>
      <c r="Q127" s="51">
        <f t="shared" si="2"/>
        <v>6.5</v>
      </c>
      <c r="R127" s="51">
        <f>L127*$A$3</f>
        <v>2.8576296000000001</v>
      </c>
      <c r="S127" s="51">
        <f>M127*$A$3</f>
        <v>0.99336647999999994</v>
      </c>
      <c r="T127" s="51">
        <f>N127*$A$3</f>
        <v>3.9462503999999995E-2</v>
      </c>
      <c r="U127" s="51">
        <f>O127*$A$3</f>
        <v>1.9958047999999999E-2</v>
      </c>
      <c r="V127" s="25">
        <v>19</v>
      </c>
      <c r="W127" s="47">
        <f>V127*$A$3</f>
        <v>8.6182479999999995</v>
      </c>
      <c r="X127" s="44">
        <v>75.400000000000006</v>
      </c>
      <c r="Y127" s="54">
        <v>0.84</v>
      </c>
      <c r="Z127" s="47">
        <f>IF(Y127&gt;0,(Y127*$A$3),"")</f>
        <v>0.38101727999999996</v>
      </c>
      <c r="AA127" s="1">
        <v>0.56000000000000005</v>
      </c>
      <c r="AB127" s="47">
        <f>IF(AA127&gt;0,(AA127*$A$3),"")</f>
        <v>0.25401152000000005</v>
      </c>
      <c r="AC127" s="1">
        <v>11.5</v>
      </c>
      <c r="AD127" s="1">
        <v>0.46</v>
      </c>
      <c r="AE127" s="6">
        <v>0.23</v>
      </c>
    </row>
    <row r="128" spans="1:31">
      <c r="A128" s="3"/>
      <c r="C128" s="47" t="str">
        <f>IF(B128&gt;0,(B128*$A$3),"")</f>
        <v/>
      </c>
      <c r="D128" s="1">
        <v>900</v>
      </c>
      <c r="E128" s="47">
        <f>IF(D128&gt;0,(D128*$A$3),"")</f>
        <v>408.2328</v>
      </c>
      <c r="H128" s="1">
        <v>3.3</v>
      </c>
      <c r="I128" s="47">
        <f>IF(H128&gt;0,(H128*$A$3),"")</f>
        <v>1.4968535999999999</v>
      </c>
      <c r="J128" s="32">
        <v>15.65</v>
      </c>
      <c r="K128" s="25">
        <v>7.1</v>
      </c>
      <c r="L128" s="25">
        <v>6.8</v>
      </c>
      <c r="M128" s="25">
        <v>2.1800000000000002</v>
      </c>
      <c r="N128" s="25">
        <v>8.4000000000000005E-2</v>
      </c>
      <c r="O128" s="33">
        <v>4.3999999999999997E-2</v>
      </c>
      <c r="P128" s="51">
        <f>J128*$A$3</f>
        <v>7.0987147999999998</v>
      </c>
      <c r="Q128" s="51">
        <f t="shared" si="2"/>
        <v>7.1</v>
      </c>
      <c r="R128" s="51">
        <f>L128*$A$3</f>
        <v>3.0844255999999999</v>
      </c>
      <c r="S128" s="51">
        <f>M128*$A$3</f>
        <v>0.98883056000000003</v>
      </c>
      <c r="T128" s="51">
        <f>N128*$A$3</f>
        <v>3.8101728000000001E-2</v>
      </c>
      <c r="U128" s="51">
        <f>O128*$A$3</f>
        <v>1.9958047999999999E-2</v>
      </c>
      <c r="V128" s="25">
        <v>20.7</v>
      </c>
      <c r="W128" s="47">
        <f>V128*$A$3</f>
        <v>9.3893544000000002</v>
      </c>
      <c r="X128" s="44">
        <v>75.400000000000006</v>
      </c>
      <c r="Y128" s="54">
        <v>0.84</v>
      </c>
      <c r="Z128" s="47">
        <f>IF(Y128&gt;0,(Y128*$A$3),"")</f>
        <v>0.38101727999999996</v>
      </c>
      <c r="AA128" s="1">
        <v>0.56000000000000005</v>
      </c>
      <c r="AB128" s="47">
        <f>IF(AA128&gt;0,(AA128*$A$3),"")</f>
        <v>0.25401152000000005</v>
      </c>
      <c r="AC128" s="1">
        <v>10.5</v>
      </c>
      <c r="AD128" s="1">
        <v>0.41</v>
      </c>
      <c r="AE128" s="6">
        <v>0.21</v>
      </c>
    </row>
    <row r="129" spans="1:31">
      <c r="A129" s="3"/>
      <c r="C129" s="47" t="str">
        <f>IF(B129&gt;0,(B129*$A$3),"")</f>
        <v/>
      </c>
      <c r="D129" s="15">
        <v>1000</v>
      </c>
      <c r="E129" s="47">
        <f>IF(D129&gt;0,(D129*$A$3),"")</f>
        <v>453.59199999999998</v>
      </c>
      <c r="F129" s="15"/>
      <c r="G129" s="15"/>
      <c r="H129" s="1">
        <v>3.3</v>
      </c>
      <c r="I129" s="47">
        <f>IF(H129&gt;0,(H129*$A$3),"")</f>
        <v>1.4968535999999999</v>
      </c>
      <c r="J129" s="32">
        <v>16.940000000000001</v>
      </c>
      <c r="K129" s="25">
        <v>7.7</v>
      </c>
      <c r="L129" s="25">
        <v>7.4</v>
      </c>
      <c r="M129" s="25">
        <v>2.17</v>
      </c>
      <c r="N129" s="25">
        <v>8.2000000000000003E-2</v>
      </c>
      <c r="O129" s="33">
        <v>4.3999999999999997E-2</v>
      </c>
      <c r="P129" s="51">
        <f>J129*$A$3</f>
        <v>7.6838484800000009</v>
      </c>
      <c r="Q129" s="51">
        <f t="shared" si="2"/>
        <v>7.7</v>
      </c>
      <c r="R129" s="51">
        <f>L129*$A$3</f>
        <v>3.3565808000000001</v>
      </c>
      <c r="S129" s="51">
        <f>M129*$A$3</f>
        <v>0.98429464</v>
      </c>
      <c r="T129" s="51">
        <f>N129*$A$3</f>
        <v>3.7194544000000003E-2</v>
      </c>
      <c r="U129" s="51">
        <f>O129*$A$3</f>
        <v>1.9958047999999999E-2</v>
      </c>
      <c r="V129" s="25">
        <v>22.4</v>
      </c>
      <c r="W129" s="47">
        <f>V129*$A$3</f>
        <v>10.160460799999999</v>
      </c>
      <c r="X129" s="44">
        <v>75.5</v>
      </c>
      <c r="Y129" s="54">
        <v>0.84</v>
      </c>
      <c r="Z129" s="47">
        <f>IF(Y129&gt;0,(Y129*$A$3),"")</f>
        <v>0.38101727999999996</v>
      </c>
      <c r="AA129" s="1">
        <v>0.56000000000000005</v>
      </c>
      <c r="AB129" s="47">
        <f>IF(AA129&gt;0,(AA129*$A$3),"")</f>
        <v>0.25401152000000005</v>
      </c>
      <c r="AC129" s="1">
        <v>9.6999999999999993</v>
      </c>
      <c r="AD129" s="1">
        <v>0.37</v>
      </c>
      <c r="AE129" s="6">
        <v>0.2</v>
      </c>
    </row>
    <row r="130" spans="1:31">
      <c r="A130" s="13"/>
      <c r="B130" s="8"/>
      <c r="C130" s="47" t="str">
        <f>IF(B130&gt;0,(B130*$A$3),"")</f>
        <v/>
      </c>
      <c r="D130" s="16">
        <v>1100</v>
      </c>
      <c r="E130" s="47">
        <f>IF(D130&gt;0,(D130*$A$3),"")</f>
        <v>498.95119999999997</v>
      </c>
      <c r="F130" s="16"/>
      <c r="G130" s="16"/>
      <c r="H130" s="1">
        <v>3.3</v>
      </c>
      <c r="I130" s="47">
        <f>IF(H130&gt;0,(H130*$A$3),"")</f>
        <v>1.4968535999999999</v>
      </c>
      <c r="J130" s="34">
        <v>18.21</v>
      </c>
      <c r="K130" s="35">
        <v>8.3000000000000007</v>
      </c>
      <c r="L130" s="35">
        <v>8</v>
      </c>
      <c r="M130" s="35">
        <v>2.17</v>
      </c>
      <c r="N130" s="35">
        <v>0.08</v>
      </c>
      <c r="O130" s="36">
        <v>4.3999999999999997E-2</v>
      </c>
      <c r="P130" s="51">
        <f>J130*$A$3</f>
        <v>8.2599103199999995</v>
      </c>
      <c r="Q130" s="51">
        <f t="shared" si="2"/>
        <v>8.3000000000000007</v>
      </c>
      <c r="R130" s="51">
        <f>L130*$A$3</f>
        <v>3.628736</v>
      </c>
      <c r="S130" s="51">
        <f>M130*$A$3</f>
        <v>0.98429464</v>
      </c>
      <c r="T130" s="51">
        <f>N130*$A$3</f>
        <v>3.6287359999999998E-2</v>
      </c>
      <c r="U130" s="51">
        <f>O130*$A$3</f>
        <v>1.9958047999999999E-2</v>
      </c>
      <c r="V130" s="35">
        <v>24.1</v>
      </c>
      <c r="W130" s="47">
        <f>V130*$A$3</f>
        <v>10.9315672</v>
      </c>
      <c r="X130" s="46">
        <v>75.599999999999994</v>
      </c>
      <c r="Y130" s="56">
        <v>0.85</v>
      </c>
      <c r="Z130" s="47">
        <f>IF(Y130&gt;0,(Y130*$A$3),"")</f>
        <v>0.38555319999999998</v>
      </c>
      <c r="AA130" s="8">
        <v>0.56000000000000005</v>
      </c>
      <c r="AB130" s="47">
        <f>IF(AA130&gt;0,(AA130*$A$3),"")</f>
        <v>0.25401152000000005</v>
      </c>
      <c r="AC130" s="8">
        <v>9</v>
      </c>
      <c r="AD130" s="8">
        <v>0.33</v>
      </c>
      <c r="AE130" s="9">
        <v>0.18</v>
      </c>
    </row>
    <row r="131" spans="1:31">
      <c r="C131" s="47" t="str">
        <f>IF(B131&gt;0,(B131*$A$3),"")</f>
        <v/>
      </c>
      <c r="E131" s="47" t="str">
        <f>IF(D131&gt;0,(D131*$A$3),"")</f>
        <v/>
      </c>
      <c r="I131" s="47" t="str">
        <f>IF(H131&gt;0,(H131*$A$3),"")</f>
        <v/>
      </c>
      <c r="P131" s="51">
        <f>J131*$A$3</f>
        <v>0</v>
      </c>
      <c r="Q131" s="51">
        <f t="shared" si="2"/>
        <v>0</v>
      </c>
      <c r="R131" s="51">
        <f>L131*$A$3</f>
        <v>0</v>
      </c>
      <c r="S131" s="51">
        <f>M131*$A$3</f>
        <v>0</v>
      </c>
      <c r="T131" s="51">
        <f>N131*$A$3</f>
        <v>0</v>
      </c>
      <c r="U131" s="51">
        <f>O131*$A$3</f>
        <v>0</v>
      </c>
    </row>
    <row r="132" spans="1:31">
      <c r="A132" s="11"/>
      <c r="B132" s="10"/>
      <c r="C132" s="47" t="str">
        <f>IF(B132&gt;0,(B132*$A$3),"")</f>
        <v/>
      </c>
      <c r="D132" s="10"/>
      <c r="E132" s="47" t="str">
        <f>IF(D132&gt;0,(D132*$A$3),"")</f>
        <v/>
      </c>
      <c r="F132" s="10"/>
      <c r="G132" s="10"/>
      <c r="H132" s="10"/>
      <c r="I132" s="47" t="str">
        <f>IF(H132&gt;0,(H132*$A$3),"")</f>
        <v/>
      </c>
      <c r="J132" s="26" t="s">
        <v>10</v>
      </c>
      <c r="K132" s="27"/>
      <c r="L132" s="27"/>
      <c r="M132" s="27"/>
      <c r="N132" s="27"/>
      <c r="O132" s="28"/>
      <c r="P132" s="51" t="e">
        <f>J132*$A$3</f>
        <v>#VALUE!</v>
      </c>
      <c r="Q132" s="51">
        <f t="shared" si="2"/>
        <v>0</v>
      </c>
      <c r="R132" s="51">
        <f>L132*$A$3</f>
        <v>0</v>
      </c>
      <c r="S132" s="51">
        <f>M132*$A$3</f>
        <v>0</v>
      </c>
      <c r="T132" s="51">
        <f>N132*$A$3</f>
        <v>0</v>
      </c>
      <c r="U132" s="51">
        <f>O132*$A$3</f>
        <v>0</v>
      </c>
      <c r="V132" s="21" t="s">
        <v>21</v>
      </c>
      <c r="W132" s="21"/>
      <c r="X132" s="21"/>
      <c r="Y132" s="21"/>
      <c r="Z132" s="21"/>
      <c r="AA132" s="21"/>
      <c r="AB132" s="21"/>
      <c r="AC132" s="21"/>
      <c r="AD132" s="21"/>
      <c r="AE132" s="22"/>
    </row>
    <row r="133" spans="1:31" ht="26">
      <c r="A133" s="12" t="s">
        <v>42</v>
      </c>
      <c r="B133" s="2" t="s">
        <v>27</v>
      </c>
      <c r="C133" s="47" t="s">
        <v>132</v>
      </c>
      <c r="D133" s="2" t="s">
        <v>31</v>
      </c>
      <c r="E133" s="49" t="s">
        <v>128</v>
      </c>
      <c r="F133" s="2"/>
      <c r="G133" s="2"/>
      <c r="H133" s="2" t="s">
        <v>30</v>
      </c>
      <c r="I133" s="47" t="e">
        <f>IF(H133&gt;0,(H133*$A$3),"")</f>
        <v>#VALUE!</v>
      </c>
      <c r="J133" s="29" t="s">
        <v>11</v>
      </c>
      <c r="K133" s="30" t="s">
        <v>23</v>
      </c>
      <c r="L133" s="30" t="s">
        <v>24</v>
      </c>
      <c r="M133" s="30" t="s">
        <v>12</v>
      </c>
      <c r="N133" s="30" t="s">
        <v>13</v>
      </c>
      <c r="O133" s="31" t="s">
        <v>14</v>
      </c>
      <c r="P133" s="48" t="s">
        <v>130</v>
      </c>
      <c r="Q133" s="49" t="s">
        <v>23</v>
      </c>
      <c r="R133" s="49" t="s">
        <v>129</v>
      </c>
      <c r="S133" s="49" t="s">
        <v>117</v>
      </c>
      <c r="T133" s="49" t="s">
        <v>118</v>
      </c>
      <c r="U133" s="50" t="s">
        <v>119</v>
      </c>
      <c r="V133" s="29" t="s">
        <v>15</v>
      </c>
      <c r="W133" s="48" t="s">
        <v>120</v>
      </c>
      <c r="X133" s="45" t="s">
        <v>16</v>
      </c>
      <c r="Y133" s="55" t="s">
        <v>17</v>
      </c>
      <c r="Z133" s="49" t="s">
        <v>126</v>
      </c>
      <c r="AA133" s="2" t="s">
        <v>24</v>
      </c>
      <c r="AB133" s="49" t="s">
        <v>127</v>
      </c>
      <c r="AC133" s="2" t="s">
        <v>18</v>
      </c>
      <c r="AD133" s="2" t="s">
        <v>19</v>
      </c>
      <c r="AE133" s="4" t="s">
        <v>20</v>
      </c>
    </row>
    <row r="134" spans="1:31">
      <c r="A134" s="3"/>
      <c r="B134" s="1">
        <v>2200</v>
      </c>
      <c r="C134" s="47">
        <f>IF(B134&gt;0,(B134*$A$3),"")</f>
        <v>997.90239999999994</v>
      </c>
      <c r="D134" s="1">
        <v>500</v>
      </c>
      <c r="E134" s="47">
        <f>IF(D134&gt;0,(D134*$A$3),"")</f>
        <v>226.79599999999999</v>
      </c>
      <c r="H134" s="1">
        <v>1</v>
      </c>
      <c r="I134" s="47">
        <f>IF(H134&gt;0,(H134*$A$3),"")</f>
        <v>0.453592</v>
      </c>
      <c r="J134" s="32">
        <v>6.73</v>
      </c>
      <c r="K134" s="25">
        <v>5.3</v>
      </c>
      <c r="L134" s="25">
        <v>0.8</v>
      </c>
      <c r="M134" s="25">
        <v>1.1499999999999999</v>
      </c>
      <c r="N134" s="25">
        <v>4.3999999999999997E-2</v>
      </c>
      <c r="O134" s="33">
        <v>2.3E-2</v>
      </c>
      <c r="P134" s="51">
        <f>J134*$A$3</f>
        <v>3.05267416</v>
      </c>
      <c r="Q134" s="51">
        <f t="shared" si="2"/>
        <v>5.3</v>
      </c>
      <c r="R134" s="51">
        <f>L134*$A$3</f>
        <v>0.36287360000000002</v>
      </c>
      <c r="S134" s="51">
        <f>M134*$A$3</f>
        <v>0.52163079999999995</v>
      </c>
      <c r="T134" s="51">
        <f>N134*$A$3</f>
        <v>1.9958047999999999E-2</v>
      </c>
      <c r="U134" s="51">
        <f>O134*$A$3</f>
        <v>1.0432616E-2</v>
      </c>
      <c r="V134" s="25">
        <v>11.3</v>
      </c>
      <c r="W134" s="47">
        <f>V134*$A$3</f>
        <v>5.1255896000000005</v>
      </c>
      <c r="X134" s="44">
        <v>59.6</v>
      </c>
      <c r="Y134" s="54">
        <v>0.59</v>
      </c>
      <c r="Z134" s="47">
        <f>IF(Y134&gt;0,(Y134*$A$3),"")</f>
        <v>0.26761927999999996</v>
      </c>
      <c r="AA134" s="1">
        <v>0.33</v>
      </c>
      <c r="AB134" s="47">
        <f>IF(AA134&gt;0,(AA134*$A$3),"")</f>
        <v>0.14968536000000002</v>
      </c>
      <c r="AC134" s="1">
        <v>10.199999999999999</v>
      </c>
      <c r="AD134" s="1">
        <v>0.39</v>
      </c>
      <c r="AE134" s="6">
        <v>0.21</v>
      </c>
    </row>
    <row r="135" spans="1:31">
      <c r="A135" s="3"/>
      <c r="C135" s="47" t="str">
        <f>IF(B135&gt;0,(B135*$A$3),"")</f>
        <v/>
      </c>
      <c r="D135" s="1">
        <v>600</v>
      </c>
      <c r="E135" s="47">
        <f>IF(D135&gt;0,(D135*$A$3),"")</f>
        <v>272.15519999999998</v>
      </c>
      <c r="H135" s="1">
        <v>1</v>
      </c>
      <c r="I135" s="47">
        <f>IF(H135&gt;0,(H135*$A$3),"")</f>
        <v>0.453592</v>
      </c>
      <c r="J135" s="32">
        <v>7.73</v>
      </c>
      <c r="K135" s="25">
        <v>6.1</v>
      </c>
      <c r="L135" s="25">
        <v>0.8</v>
      </c>
      <c r="M135" s="25">
        <v>1.24</v>
      </c>
      <c r="N135" s="25">
        <v>4.5999999999999999E-2</v>
      </c>
      <c r="O135" s="33">
        <v>2.5000000000000001E-2</v>
      </c>
      <c r="P135" s="51">
        <f>J135*$A$3</f>
        <v>3.50626616</v>
      </c>
      <c r="Q135" s="51">
        <f t="shared" si="2"/>
        <v>6.1</v>
      </c>
      <c r="R135" s="51">
        <f>L135*$A$3</f>
        <v>0.36287360000000002</v>
      </c>
      <c r="S135" s="51">
        <f>M135*$A$3</f>
        <v>0.56245407999999997</v>
      </c>
      <c r="T135" s="51">
        <f>N135*$A$3</f>
        <v>2.0865232000000001E-2</v>
      </c>
      <c r="U135" s="51">
        <f>O135*$A$3</f>
        <v>1.1339800000000001E-2</v>
      </c>
      <c r="V135" s="25">
        <v>12.9</v>
      </c>
      <c r="W135" s="47">
        <f>V135*$A$3</f>
        <v>5.8513368000000003</v>
      </c>
      <c r="X135" s="44">
        <v>59.7</v>
      </c>
      <c r="Y135" s="54">
        <v>0.59</v>
      </c>
      <c r="Z135" s="47">
        <f>IF(Y135&gt;0,(Y135*$A$3),"")</f>
        <v>0.26761927999999996</v>
      </c>
      <c r="AA135" s="1">
        <v>0.33</v>
      </c>
      <c r="AB135" s="47">
        <f>IF(AA135&gt;0,(AA135*$A$3),"")</f>
        <v>0.14968536000000002</v>
      </c>
      <c r="AC135" s="1">
        <v>9.5</v>
      </c>
      <c r="AD135" s="1">
        <v>0.36</v>
      </c>
      <c r="AE135" s="6">
        <v>0.19</v>
      </c>
    </row>
    <row r="136" spans="1:31">
      <c r="A136" s="3"/>
      <c r="C136" s="47" t="str">
        <f>IF(B136&gt;0,(B136*$A$3),"")</f>
        <v/>
      </c>
      <c r="D136" s="1">
        <v>700</v>
      </c>
      <c r="E136" s="47">
        <f>IF(D136&gt;0,(D136*$A$3),"")</f>
        <v>317.51440000000002</v>
      </c>
      <c r="H136" s="1">
        <v>1</v>
      </c>
      <c r="I136" s="47">
        <f>IF(H136&gt;0,(H136*$A$3),"")</f>
        <v>0.453592</v>
      </c>
      <c r="J136" s="32">
        <v>8.65</v>
      </c>
      <c r="K136" s="25">
        <v>6.8</v>
      </c>
      <c r="L136" s="25">
        <v>1</v>
      </c>
      <c r="M136" s="25">
        <v>1.32</v>
      </c>
      <c r="N136" s="25">
        <v>4.8000000000000001E-2</v>
      </c>
      <c r="O136" s="33">
        <v>2.7E-2</v>
      </c>
      <c r="P136" s="51">
        <f>J136*$A$3</f>
        <v>3.9235708000000002</v>
      </c>
      <c r="Q136" s="51">
        <f t="shared" si="2"/>
        <v>6.8</v>
      </c>
      <c r="R136" s="51">
        <f>L136*$A$3</f>
        <v>0.453592</v>
      </c>
      <c r="S136" s="51">
        <f>M136*$A$3</f>
        <v>0.59874144000000007</v>
      </c>
      <c r="T136" s="51">
        <f>N136*$A$3</f>
        <v>2.1772415999999999E-2</v>
      </c>
      <c r="U136" s="51">
        <f>O136*$A$3</f>
        <v>1.2246983999999999E-2</v>
      </c>
      <c r="V136" s="25">
        <v>14.5</v>
      </c>
      <c r="W136" s="47">
        <f>V136*$A$3</f>
        <v>6.5770840000000002</v>
      </c>
      <c r="X136" s="44">
        <v>59.6</v>
      </c>
      <c r="Y136" s="54">
        <v>0.59</v>
      </c>
      <c r="Z136" s="47">
        <f>IF(Y136&gt;0,(Y136*$A$3),"")</f>
        <v>0.26761927999999996</v>
      </c>
      <c r="AA136" s="1">
        <v>0.33</v>
      </c>
      <c r="AB136" s="47">
        <f>IF(AA136&gt;0,(AA136*$A$3),"")</f>
        <v>0.14968536000000002</v>
      </c>
      <c r="AC136" s="1">
        <v>9.1</v>
      </c>
      <c r="AD136" s="1">
        <v>0.33</v>
      </c>
      <c r="AE136" s="6">
        <v>0.19</v>
      </c>
    </row>
    <row r="137" spans="1:31">
      <c r="A137" s="3"/>
      <c r="C137" s="47" t="str">
        <f>IF(B137&gt;0,(B137*$A$3),"")</f>
        <v/>
      </c>
      <c r="D137" s="1">
        <v>800</v>
      </c>
      <c r="E137" s="47">
        <f>IF(D137&gt;0,(D137*$A$3),"")</f>
        <v>362.87360000000001</v>
      </c>
      <c r="H137" s="1">
        <v>1</v>
      </c>
      <c r="I137" s="47">
        <f>IF(H137&gt;0,(H137*$A$3),"")</f>
        <v>0.453592</v>
      </c>
      <c r="J137" s="32">
        <v>9.5500000000000007</v>
      </c>
      <c r="K137" s="25">
        <v>7.5</v>
      </c>
      <c r="L137" s="25">
        <v>1.1000000000000001</v>
      </c>
      <c r="M137" s="25">
        <v>1.4</v>
      </c>
      <c r="N137" s="25">
        <v>0.05</v>
      </c>
      <c r="O137" s="33">
        <v>2.9000000000000001E-2</v>
      </c>
      <c r="P137" s="51">
        <f>J137*$A$3</f>
        <v>4.3318036000000006</v>
      </c>
      <c r="Q137" s="51">
        <f t="shared" si="2"/>
        <v>7.5</v>
      </c>
      <c r="R137" s="51">
        <f>L137*$A$3</f>
        <v>0.49895120000000004</v>
      </c>
      <c r="S137" s="51">
        <f>M137*$A$3</f>
        <v>0.63502879999999995</v>
      </c>
      <c r="T137" s="51">
        <f>N137*$A$3</f>
        <v>2.2679600000000001E-2</v>
      </c>
      <c r="U137" s="51">
        <f>O137*$A$3</f>
        <v>1.3154168000000001E-2</v>
      </c>
      <c r="V137" s="25">
        <v>16</v>
      </c>
      <c r="W137" s="47">
        <f>V137*$A$3</f>
        <v>7.2574719999999999</v>
      </c>
      <c r="X137" s="44">
        <v>59.5</v>
      </c>
      <c r="Y137" s="54">
        <v>0.59</v>
      </c>
      <c r="Z137" s="47">
        <f>IF(Y137&gt;0,(Y137*$A$3),"")</f>
        <v>0.26761927999999996</v>
      </c>
      <c r="AA137" s="1">
        <v>0.33</v>
      </c>
      <c r="AB137" s="47">
        <f>IF(AA137&gt;0,(AA137*$A$3),"")</f>
        <v>0.14968536000000002</v>
      </c>
      <c r="AC137" s="1">
        <v>8.6999999999999993</v>
      </c>
      <c r="AD137" s="1">
        <v>0.31</v>
      </c>
      <c r="AE137" s="6">
        <v>0.18</v>
      </c>
    </row>
    <row r="138" spans="1:31">
      <c r="A138" s="3"/>
      <c r="C138" s="47" t="str">
        <f>IF(B138&gt;0,(B138*$A$3),"")</f>
        <v/>
      </c>
      <c r="D138" s="1">
        <v>900</v>
      </c>
      <c r="E138" s="47">
        <f>IF(D138&gt;0,(D138*$A$3),"")</f>
        <v>408.2328</v>
      </c>
      <c r="H138" s="1">
        <v>1</v>
      </c>
      <c r="I138" s="47">
        <f>IF(H138&gt;0,(H138*$A$3),"")</f>
        <v>0.453592</v>
      </c>
      <c r="J138" s="32">
        <v>10.43</v>
      </c>
      <c r="K138" s="25">
        <v>8.1999999999999993</v>
      </c>
      <c r="L138" s="25">
        <v>1.2</v>
      </c>
      <c r="M138" s="25">
        <v>1.48</v>
      </c>
      <c r="N138" s="25">
        <v>5.1999999999999998E-2</v>
      </c>
      <c r="O138" s="33">
        <v>3.1E-2</v>
      </c>
      <c r="P138" s="51">
        <f>J138*$A$3</f>
        <v>4.7309645599999994</v>
      </c>
      <c r="Q138" s="51">
        <f t="shared" si="2"/>
        <v>8.1999999999999993</v>
      </c>
      <c r="R138" s="51">
        <f>L138*$A$3</f>
        <v>0.54431039999999997</v>
      </c>
      <c r="S138" s="51">
        <f>M138*$A$3</f>
        <v>0.67131615999999994</v>
      </c>
      <c r="T138" s="51">
        <f>N138*$A$3</f>
        <v>2.3586784E-2</v>
      </c>
      <c r="U138" s="51">
        <f>O138*$A$3</f>
        <v>1.4061351999999999E-2</v>
      </c>
      <c r="V138" s="25">
        <v>17.5</v>
      </c>
      <c r="W138" s="47">
        <f>V138*$A$3</f>
        <v>7.9378599999999997</v>
      </c>
      <c r="X138" s="44">
        <v>59.5</v>
      </c>
      <c r="Y138" s="54">
        <v>0.59</v>
      </c>
      <c r="Z138" s="47">
        <f>IF(Y138&gt;0,(Y138*$A$3),"")</f>
        <v>0.26761927999999996</v>
      </c>
      <c r="AA138" s="1">
        <v>0.33</v>
      </c>
      <c r="AB138" s="47">
        <f>IF(AA138&gt;0,(AA138*$A$3),"")</f>
        <v>0.14968536000000002</v>
      </c>
      <c r="AC138" s="1">
        <v>8.5</v>
      </c>
      <c r="AD138" s="1">
        <v>0.3</v>
      </c>
      <c r="AE138" s="6">
        <v>0.18</v>
      </c>
    </row>
    <row r="139" spans="1:31">
      <c r="A139" s="3"/>
      <c r="C139" s="47" t="str">
        <f>IF(B139&gt;0,(B139*$A$3),"")</f>
        <v/>
      </c>
      <c r="D139" s="1">
        <v>500</v>
      </c>
      <c r="E139" s="47">
        <f>IF(D139&gt;0,(D139*$A$3),"")</f>
        <v>226.79599999999999</v>
      </c>
      <c r="H139" s="1">
        <v>1.5</v>
      </c>
      <c r="I139" s="47">
        <f>IF(H139&gt;0,(H139*$A$3),"")</f>
        <v>0.68038799999999999</v>
      </c>
      <c r="J139" s="32">
        <v>7.2</v>
      </c>
      <c r="K139" s="25">
        <v>5.3</v>
      </c>
      <c r="L139" s="25">
        <v>1.2</v>
      </c>
      <c r="M139" s="25">
        <v>1.36</v>
      </c>
      <c r="N139" s="25">
        <v>5.8999999999999997E-2</v>
      </c>
      <c r="O139" s="33">
        <v>2.9000000000000001E-2</v>
      </c>
      <c r="P139" s="51">
        <f>J139*$A$3</f>
        <v>3.2658624000000001</v>
      </c>
      <c r="Q139" s="51">
        <f t="shared" si="2"/>
        <v>5.3</v>
      </c>
      <c r="R139" s="51">
        <f>L139*$A$3</f>
        <v>0.54431039999999997</v>
      </c>
      <c r="S139" s="51">
        <f>M139*$A$3</f>
        <v>0.61688512000000006</v>
      </c>
      <c r="T139" s="51">
        <f>N139*$A$3</f>
        <v>2.6761927999999997E-2</v>
      </c>
      <c r="U139" s="51">
        <f>O139*$A$3</f>
        <v>1.3154168000000001E-2</v>
      </c>
      <c r="V139" s="25">
        <v>11.5</v>
      </c>
      <c r="W139" s="47">
        <f>V139*$A$3</f>
        <v>5.2163079999999997</v>
      </c>
      <c r="X139" s="44">
        <v>62.8</v>
      </c>
      <c r="Y139" s="54">
        <v>0.64</v>
      </c>
      <c r="Z139" s="47">
        <f>IF(Y139&gt;0,(Y139*$A$3),"")</f>
        <v>0.29029887999999998</v>
      </c>
      <c r="AA139" s="1">
        <v>0.37</v>
      </c>
      <c r="AB139" s="47">
        <f>IF(AA139&gt;0,(AA139*$A$3),"")</f>
        <v>0.16782903999999998</v>
      </c>
      <c r="AC139" s="1">
        <v>11.9</v>
      </c>
      <c r="AD139" s="1">
        <v>0.51</v>
      </c>
      <c r="AE139" s="6">
        <v>0.25</v>
      </c>
    </row>
    <row r="140" spans="1:31">
      <c r="A140" s="3"/>
      <c r="C140" s="47" t="str">
        <f>IF(B140&gt;0,(B140*$A$3),"")</f>
        <v/>
      </c>
      <c r="D140" s="1">
        <v>600</v>
      </c>
      <c r="E140" s="47">
        <f>IF(D140&gt;0,(D140*$A$3),"")</f>
        <v>272.15519999999998</v>
      </c>
      <c r="H140" s="1">
        <v>1.5</v>
      </c>
      <c r="I140" s="47">
        <f>IF(H140&gt;0,(H140*$A$3),"")</f>
        <v>0.68038799999999999</v>
      </c>
      <c r="J140" s="32">
        <v>8.27</v>
      </c>
      <c r="K140" s="25">
        <v>6.1</v>
      </c>
      <c r="L140" s="25">
        <v>1.4</v>
      </c>
      <c r="M140" s="25">
        <v>1.44</v>
      </c>
      <c r="N140" s="25">
        <v>0.06</v>
      </c>
      <c r="O140" s="33">
        <v>3.1E-2</v>
      </c>
      <c r="P140" s="51">
        <f>J140*$A$3</f>
        <v>3.7512058399999999</v>
      </c>
      <c r="Q140" s="51">
        <f t="shared" si="2"/>
        <v>6.1</v>
      </c>
      <c r="R140" s="51">
        <f>L140*$A$3</f>
        <v>0.63502879999999995</v>
      </c>
      <c r="S140" s="51">
        <f>M140*$A$3</f>
        <v>0.65317247999999994</v>
      </c>
      <c r="T140" s="51">
        <f>N140*$A$3</f>
        <v>2.721552E-2</v>
      </c>
      <c r="U140" s="51">
        <f>O140*$A$3</f>
        <v>1.4061351999999999E-2</v>
      </c>
      <c r="V140" s="25">
        <v>13.2</v>
      </c>
      <c r="W140" s="47">
        <f>V140*$A$3</f>
        <v>5.9874143999999996</v>
      </c>
      <c r="X140" s="44">
        <v>62.9</v>
      </c>
      <c r="Y140" s="54">
        <v>0.64</v>
      </c>
      <c r="Z140" s="47">
        <f>IF(Y140&gt;0,(Y140*$A$3),"")</f>
        <v>0.29029887999999998</v>
      </c>
      <c r="AA140" s="1">
        <v>0.37</v>
      </c>
      <c r="AB140" s="47">
        <f>IF(AA140&gt;0,(AA140*$A$3),"")</f>
        <v>0.16782903999999998</v>
      </c>
      <c r="AC140" s="1">
        <v>10.9</v>
      </c>
      <c r="AD140" s="1">
        <v>0.46</v>
      </c>
      <c r="AE140" s="6">
        <v>0.23</v>
      </c>
    </row>
    <row r="141" spans="1:31">
      <c r="A141" s="3"/>
      <c r="C141" s="47" t="str">
        <f>IF(B141&gt;0,(B141*$A$3),"")</f>
        <v/>
      </c>
      <c r="D141" s="1">
        <v>700</v>
      </c>
      <c r="E141" s="47">
        <f>IF(D141&gt;0,(D141*$A$3),"")</f>
        <v>317.51440000000002</v>
      </c>
      <c r="H141" s="1">
        <v>1.5</v>
      </c>
      <c r="I141" s="47">
        <f>IF(H141&gt;0,(H141*$A$3),"")</f>
        <v>0.68038799999999999</v>
      </c>
      <c r="J141" s="32">
        <v>9.26</v>
      </c>
      <c r="K141" s="25">
        <v>6.8</v>
      </c>
      <c r="L141" s="25">
        <v>1.5</v>
      </c>
      <c r="M141" s="25">
        <v>1.52</v>
      </c>
      <c r="N141" s="25">
        <v>6.2E-2</v>
      </c>
      <c r="O141" s="33">
        <v>3.2000000000000001E-2</v>
      </c>
      <c r="P141" s="51">
        <f>J141*$A$3</f>
        <v>4.20026192</v>
      </c>
      <c r="Q141" s="51">
        <f t="shared" si="2"/>
        <v>6.8</v>
      </c>
      <c r="R141" s="51">
        <f>L141*$A$3</f>
        <v>0.68038799999999999</v>
      </c>
      <c r="S141" s="51">
        <f>M141*$A$3</f>
        <v>0.68945984000000005</v>
      </c>
      <c r="T141" s="51">
        <f>N141*$A$3</f>
        <v>2.8122703999999998E-2</v>
      </c>
      <c r="U141" s="51">
        <f>O141*$A$3</f>
        <v>1.4514944E-2</v>
      </c>
      <c r="V141" s="25">
        <v>14.8</v>
      </c>
      <c r="W141" s="47">
        <f>V141*$A$3</f>
        <v>6.7131616000000003</v>
      </c>
      <c r="X141" s="44">
        <v>62.7</v>
      </c>
      <c r="Y141" s="54">
        <v>0.64</v>
      </c>
      <c r="Z141" s="47">
        <f>IF(Y141&gt;0,(Y141*$A$3),"")</f>
        <v>0.29029887999999998</v>
      </c>
      <c r="AA141" s="1">
        <v>0.37</v>
      </c>
      <c r="AB141" s="47">
        <f>IF(AA141&gt;0,(AA141*$A$3),"")</f>
        <v>0.16782903999999998</v>
      </c>
      <c r="AC141" s="1">
        <v>10.3</v>
      </c>
      <c r="AD141" s="1">
        <v>0.42</v>
      </c>
      <c r="AE141" s="6">
        <v>0.22</v>
      </c>
    </row>
    <row r="142" spans="1:31">
      <c r="A142" s="3"/>
      <c r="C142" s="47" t="str">
        <f>IF(B142&gt;0,(B142*$A$3),"")</f>
        <v/>
      </c>
      <c r="D142" s="1">
        <v>800</v>
      </c>
      <c r="E142" s="47">
        <f>IF(D142&gt;0,(D142*$A$3),"")</f>
        <v>362.87360000000001</v>
      </c>
      <c r="H142" s="1">
        <v>1.5</v>
      </c>
      <c r="I142" s="47">
        <f>IF(H142&gt;0,(H142*$A$3),"")</f>
        <v>0.68038799999999999</v>
      </c>
      <c r="J142" s="32">
        <v>10.23</v>
      </c>
      <c r="K142" s="25">
        <v>7.5</v>
      </c>
      <c r="L142" s="25">
        <v>1.7</v>
      </c>
      <c r="M142" s="25">
        <v>1.59</v>
      </c>
      <c r="N142" s="25">
        <v>6.3E-2</v>
      </c>
      <c r="O142" s="33">
        <v>3.4000000000000002E-2</v>
      </c>
      <c r="P142" s="51">
        <f>J142*$A$3</f>
        <v>4.6402461600000002</v>
      </c>
      <c r="Q142" s="51">
        <f t="shared" si="2"/>
        <v>7.5</v>
      </c>
      <c r="R142" s="51">
        <f>L142*$A$3</f>
        <v>0.77110639999999997</v>
      </c>
      <c r="S142" s="51">
        <f>M142*$A$3</f>
        <v>0.72121128000000001</v>
      </c>
      <c r="T142" s="51">
        <f>N142*$A$3</f>
        <v>2.8576296000000001E-2</v>
      </c>
      <c r="U142" s="51">
        <f>O142*$A$3</f>
        <v>1.5422128E-2</v>
      </c>
      <c r="V142" s="25">
        <v>16.3</v>
      </c>
      <c r="W142" s="47">
        <f>V142*$A$3</f>
        <v>7.3935496000000001</v>
      </c>
      <c r="X142" s="44">
        <v>62.7</v>
      </c>
      <c r="Y142" s="54">
        <v>0.64</v>
      </c>
      <c r="Z142" s="47">
        <f>IF(Y142&gt;0,(Y142*$A$3),"")</f>
        <v>0.29029887999999998</v>
      </c>
      <c r="AA142" s="1">
        <v>0.37</v>
      </c>
      <c r="AB142" s="47">
        <f>IF(AA142&gt;0,(AA142*$A$3),"")</f>
        <v>0.16782903999999998</v>
      </c>
      <c r="AC142" s="1">
        <v>9.8000000000000007</v>
      </c>
      <c r="AD142" s="1">
        <v>0.39</v>
      </c>
      <c r="AE142" s="6">
        <v>0.21</v>
      </c>
    </row>
    <row r="143" spans="1:31">
      <c r="A143" s="3"/>
      <c r="C143" s="47" t="str">
        <f>IF(B143&gt;0,(B143*$A$3),"")</f>
        <v/>
      </c>
      <c r="D143" s="1">
        <v>900</v>
      </c>
      <c r="E143" s="47">
        <f>IF(D143&gt;0,(D143*$A$3),"")</f>
        <v>408.2328</v>
      </c>
      <c r="H143" s="1">
        <v>1.5</v>
      </c>
      <c r="I143" s="47">
        <f>IF(H143&gt;0,(H143*$A$3),"")</f>
        <v>0.68038799999999999</v>
      </c>
      <c r="J143" s="32">
        <v>11.17</v>
      </c>
      <c r="K143" s="25">
        <v>8.1999999999999993</v>
      </c>
      <c r="L143" s="25">
        <v>1.8</v>
      </c>
      <c r="M143" s="25">
        <v>1.66</v>
      </c>
      <c r="N143" s="25">
        <v>6.5000000000000002E-2</v>
      </c>
      <c r="O143" s="33">
        <v>3.5999999999999997E-2</v>
      </c>
      <c r="P143" s="51">
        <f>J143*$A$3</f>
        <v>5.0666226400000003</v>
      </c>
      <c r="Q143" s="51">
        <f t="shared" si="2"/>
        <v>8.1999999999999993</v>
      </c>
      <c r="R143" s="51">
        <f>L143*$A$3</f>
        <v>0.81646560000000001</v>
      </c>
      <c r="S143" s="51">
        <f>M143*$A$3</f>
        <v>0.75296271999999997</v>
      </c>
      <c r="T143" s="51">
        <f>N143*$A$3</f>
        <v>2.9483479999999999E-2</v>
      </c>
      <c r="U143" s="51">
        <f>O143*$A$3</f>
        <v>1.6329311999999999E-2</v>
      </c>
      <c r="V143" s="25">
        <v>17.8</v>
      </c>
      <c r="W143" s="47">
        <f>V143*$A$3</f>
        <v>8.0739376000000007</v>
      </c>
      <c r="X143" s="44">
        <v>62.7</v>
      </c>
      <c r="Y143" s="54">
        <v>0.64</v>
      </c>
      <c r="Z143" s="47">
        <f>IF(Y143&gt;0,(Y143*$A$3),"")</f>
        <v>0.29029887999999998</v>
      </c>
      <c r="AA143" s="1">
        <v>0.37</v>
      </c>
      <c r="AB143" s="47">
        <f>IF(AA143&gt;0,(AA143*$A$3),"")</f>
        <v>0.16782903999999998</v>
      </c>
      <c r="AC143" s="1">
        <v>9.3000000000000007</v>
      </c>
      <c r="AD143" s="1">
        <v>0.36</v>
      </c>
      <c r="AE143" s="6">
        <v>0.2</v>
      </c>
    </row>
    <row r="144" spans="1:31">
      <c r="A144" s="3"/>
      <c r="C144" s="47" t="str">
        <f>IF(B144&gt;0,(B144*$A$3),"")</f>
        <v/>
      </c>
      <c r="D144" s="1">
        <v>500</v>
      </c>
      <c r="E144" s="47">
        <f>IF(D144&gt;0,(D144*$A$3),"")</f>
        <v>226.79599999999999</v>
      </c>
      <c r="H144" s="1">
        <v>2</v>
      </c>
      <c r="I144" s="47">
        <f>IF(H144&gt;0,(H144*$A$3),"")</f>
        <v>0.90718399999999999</v>
      </c>
      <c r="J144" s="32">
        <v>7.66</v>
      </c>
      <c r="K144" s="25">
        <v>5.3</v>
      </c>
      <c r="L144" s="25">
        <v>1.6</v>
      </c>
      <c r="M144" s="25">
        <v>1.57</v>
      </c>
      <c r="N144" s="25">
        <v>7.2999999999999995E-2</v>
      </c>
      <c r="O144" s="33">
        <v>3.5000000000000003E-2</v>
      </c>
      <c r="P144" s="51">
        <f>J144*$A$3</f>
        <v>3.4745147200000002</v>
      </c>
      <c r="Q144" s="51">
        <f t="shared" si="2"/>
        <v>5.3</v>
      </c>
      <c r="R144" s="51">
        <f>L144*$A$3</f>
        <v>0.72574720000000004</v>
      </c>
      <c r="S144" s="51">
        <f>M144*$A$3</f>
        <v>0.71213944000000007</v>
      </c>
      <c r="T144" s="51">
        <f>N144*$A$3</f>
        <v>3.3112216E-2</v>
      </c>
      <c r="U144" s="51">
        <f>O144*$A$3</f>
        <v>1.5875720000000003E-2</v>
      </c>
      <c r="V144" s="25">
        <v>11.6</v>
      </c>
      <c r="W144" s="47">
        <f>V144*$A$3</f>
        <v>5.2616671999999998</v>
      </c>
      <c r="X144" s="44">
        <v>66.3</v>
      </c>
      <c r="Y144" s="54">
        <v>0.69</v>
      </c>
      <c r="Z144" s="47">
        <f>IF(Y144&gt;0,(Y144*$A$3),"")</f>
        <v>0.31297847999999995</v>
      </c>
      <c r="AA144" s="1">
        <v>0.42</v>
      </c>
      <c r="AB144" s="47">
        <f>IF(AA144&gt;0,(AA144*$A$3),"")</f>
        <v>0.19050863999999998</v>
      </c>
      <c r="AC144" s="1">
        <v>13.6</v>
      </c>
      <c r="AD144" s="1">
        <v>0.63</v>
      </c>
      <c r="AE144" s="6">
        <v>0.3</v>
      </c>
    </row>
    <row r="145" spans="1:31">
      <c r="A145" s="3"/>
      <c r="C145" s="47" t="str">
        <f>IF(B145&gt;0,(B145*$A$3),"")</f>
        <v/>
      </c>
      <c r="D145" s="1">
        <v>600</v>
      </c>
      <c r="E145" s="47">
        <f>IF(D145&gt;0,(D145*$A$3),"")</f>
        <v>272.15519999999998</v>
      </c>
      <c r="H145" s="1">
        <v>2</v>
      </c>
      <c r="I145" s="47">
        <f>IF(H145&gt;0,(H145*$A$3),"")</f>
        <v>0.90718399999999999</v>
      </c>
      <c r="J145" s="32">
        <v>8.8000000000000007</v>
      </c>
      <c r="K145" s="25">
        <v>6.1</v>
      </c>
      <c r="L145" s="25">
        <v>1.9</v>
      </c>
      <c r="M145" s="25">
        <v>1.64</v>
      </c>
      <c r="N145" s="25">
        <v>7.3999999999999996E-2</v>
      </c>
      <c r="O145" s="33">
        <v>3.5999999999999997E-2</v>
      </c>
      <c r="P145" s="51">
        <f>J145*$A$3</f>
        <v>3.9916096000000003</v>
      </c>
      <c r="Q145" s="51">
        <f t="shared" si="2"/>
        <v>6.1</v>
      </c>
      <c r="R145" s="51">
        <f>L145*$A$3</f>
        <v>0.86182479999999995</v>
      </c>
      <c r="S145" s="51">
        <f>M145*$A$3</f>
        <v>0.74389087999999992</v>
      </c>
      <c r="T145" s="51">
        <f>N145*$A$3</f>
        <v>3.3565807999999996E-2</v>
      </c>
      <c r="U145" s="51">
        <f>O145*$A$3</f>
        <v>1.6329311999999999E-2</v>
      </c>
      <c r="V145" s="25">
        <v>13.3</v>
      </c>
      <c r="W145" s="47">
        <f>V145*$A$3</f>
        <v>6.0327736000000005</v>
      </c>
      <c r="X145" s="44">
        <v>66.400000000000006</v>
      </c>
      <c r="Y145" s="54">
        <v>0.69</v>
      </c>
      <c r="Z145" s="47">
        <f>IF(Y145&gt;0,(Y145*$A$3),"")</f>
        <v>0.31297847999999995</v>
      </c>
      <c r="AA145" s="1">
        <v>0.42</v>
      </c>
      <c r="AB145" s="47">
        <f>IF(AA145&gt;0,(AA145*$A$3),"")</f>
        <v>0.19050863999999998</v>
      </c>
      <c r="AC145" s="1">
        <v>12.4</v>
      </c>
      <c r="AD145" s="1">
        <v>0.56000000000000005</v>
      </c>
      <c r="AE145" s="6">
        <v>0.27</v>
      </c>
    </row>
    <row r="146" spans="1:31">
      <c r="A146" s="3"/>
      <c r="C146" s="47" t="str">
        <f>IF(B146&gt;0,(B146*$A$3),"")</f>
        <v/>
      </c>
      <c r="D146" s="1">
        <v>700</v>
      </c>
      <c r="E146" s="47">
        <f>IF(D146&gt;0,(D146*$A$3),"")</f>
        <v>317.51440000000002</v>
      </c>
      <c r="H146" s="1">
        <v>2</v>
      </c>
      <c r="I146" s="47">
        <f>IF(H146&gt;0,(H146*$A$3),"")</f>
        <v>0.90718399999999999</v>
      </c>
      <c r="J146" s="32">
        <v>9.84</v>
      </c>
      <c r="K146" s="25">
        <v>6.8</v>
      </c>
      <c r="L146" s="25">
        <v>2.1</v>
      </c>
      <c r="M146" s="25">
        <v>1.71</v>
      </c>
      <c r="N146" s="25">
        <v>7.4999999999999997E-2</v>
      </c>
      <c r="O146" s="33">
        <v>3.7999999999999999E-2</v>
      </c>
      <c r="P146" s="51">
        <f>J146*$A$3</f>
        <v>4.4633452799999995</v>
      </c>
      <c r="Q146" s="51">
        <f t="shared" si="2"/>
        <v>6.8</v>
      </c>
      <c r="R146" s="51">
        <f>L146*$A$3</f>
        <v>0.95254320000000003</v>
      </c>
      <c r="S146" s="51">
        <f>M146*$A$3</f>
        <v>0.77564232</v>
      </c>
      <c r="T146" s="51">
        <f>N146*$A$3</f>
        <v>3.4019399999999998E-2</v>
      </c>
      <c r="U146" s="51">
        <f>O146*$A$3</f>
        <v>1.7236496E-2</v>
      </c>
      <c r="V146" s="25">
        <v>14.9</v>
      </c>
      <c r="W146" s="47">
        <f>V146*$A$3</f>
        <v>6.7585208000000003</v>
      </c>
      <c r="X146" s="44">
        <v>66.2</v>
      </c>
      <c r="Y146" s="54">
        <v>0.69</v>
      </c>
      <c r="Z146" s="47">
        <f>IF(Y146&gt;0,(Y146*$A$3),"")</f>
        <v>0.31297847999999995</v>
      </c>
      <c r="AA146" s="1">
        <v>0.42</v>
      </c>
      <c r="AB146" s="47">
        <f>IF(AA146&gt;0,(AA146*$A$3),"")</f>
        <v>0.19050863999999998</v>
      </c>
      <c r="AC146" s="1">
        <v>11.5</v>
      </c>
      <c r="AD146" s="1">
        <v>0.5</v>
      </c>
      <c r="AE146" s="6">
        <v>0.25</v>
      </c>
    </row>
    <row r="147" spans="1:31">
      <c r="A147" s="3"/>
      <c r="C147" s="47" t="str">
        <f>IF(B147&gt;0,(B147*$A$3),"")</f>
        <v/>
      </c>
      <c r="D147" s="1">
        <v>800</v>
      </c>
      <c r="E147" s="47">
        <f>IF(D147&gt;0,(D147*$A$3),"")</f>
        <v>362.87360000000001</v>
      </c>
      <c r="H147" s="1">
        <v>2</v>
      </c>
      <c r="I147" s="47">
        <f>IF(H147&gt;0,(H147*$A$3),"")</f>
        <v>0.90718399999999999</v>
      </c>
      <c r="J147" s="32">
        <v>10.87</v>
      </c>
      <c r="K147" s="25">
        <v>7.5</v>
      </c>
      <c r="L147" s="25">
        <v>2.2999999999999998</v>
      </c>
      <c r="M147" s="25">
        <v>1.78</v>
      </c>
      <c r="N147" s="25">
        <v>7.5999999999999998E-2</v>
      </c>
      <c r="O147" s="33">
        <v>3.9E-2</v>
      </c>
      <c r="P147" s="51">
        <f>J147*$A$3</f>
        <v>4.9305450399999993</v>
      </c>
      <c r="Q147" s="51">
        <f t="shared" si="2"/>
        <v>7.5</v>
      </c>
      <c r="R147" s="51">
        <f>L147*$A$3</f>
        <v>1.0432615999999999</v>
      </c>
      <c r="S147" s="51">
        <f>M147*$A$3</f>
        <v>0.80739375999999996</v>
      </c>
      <c r="T147" s="51">
        <f>N147*$A$3</f>
        <v>3.4472992000000001E-2</v>
      </c>
      <c r="U147" s="51">
        <f>O147*$A$3</f>
        <v>1.7690088E-2</v>
      </c>
      <c r="V147" s="25">
        <v>16.399999999999999</v>
      </c>
      <c r="W147" s="47">
        <f>V147*$A$3</f>
        <v>7.4389087999999992</v>
      </c>
      <c r="X147" s="44">
        <v>66.099999999999994</v>
      </c>
      <c r="Y147" s="54">
        <v>0.69</v>
      </c>
      <c r="Z147" s="47">
        <f>IF(Y147&gt;0,(Y147*$A$3),"")</f>
        <v>0.31297847999999995</v>
      </c>
      <c r="AA147" s="1">
        <v>0.42</v>
      </c>
      <c r="AB147" s="47">
        <f>IF(AA147&gt;0,(AA147*$A$3),"")</f>
        <v>0.19050863999999998</v>
      </c>
      <c r="AC147" s="1">
        <v>10.8</v>
      </c>
      <c r="AD147" s="1">
        <v>0.46</v>
      </c>
      <c r="AE147" s="6">
        <v>0.24</v>
      </c>
    </row>
    <row r="148" spans="1:31">
      <c r="A148" s="3"/>
      <c r="C148" s="47" t="str">
        <f>IF(B148&gt;0,(B148*$A$3),"")</f>
        <v/>
      </c>
      <c r="D148" s="1">
        <v>900</v>
      </c>
      <c r="E148" s="47">
        <f>IF(D148&gt;0,(D148*$A$3),"")</f>
        <v>408.2328</v>
      </c>
      <c r="H148" s="1">
        <v>2</v>
      </c>
      <c r="I148" s="47">
        <f>IF(H148&gt;0,(H148*$A$3),"")</f>
        <v>0.90718399999999999</v>
      </c>
      <c r="J148" s="32">
        <v>11.88</v>
      </c>
      <c r="K148" s="25">
        <v>8.1999999999999993</v>
      </c>
      <c r="L148" s="25">
        <v>2.6</v>
      </c>
      <c r="M148" s="25">
        <v>1.84</v>
      </c>
      <c r="N148" s="25">
        <v>7.6999999999999999E-2</v>
      </c>
      <c r="O148" s="33">
        <v>4.1000000000000002E-2</v>
      </c>
      <c r="P148" s="51">
        <f>J148*$A$3</f>
        <v>5.3886729600000001</v>
      </c>
      <c r="Q148" s="51">
        <f t="shared" si="2"/>
        <v>8.1999999999999993</v>
      </c>
      <c r="R148" s="51">
        <f>L148*$A$3</f>
        <v>1.1793392</v>
      </c>
      <c r="S148" s="51">
        <f>M148*$A$3</f>
        <v>0.83460928000000001</v>
      </c>
      <c r="T148" s="51">
        <f>N148*$A$3</f>
        <v>3.4926583999999997E-2</v>
      </c>
      <c r="U148" s="51">
        <f>O148*$A$3</f>
        <v>1.8597272000000001E-2</v>
      </c>
      <c r="V148" s="25">
        <v>18</v>
      </c>
      <c r="W148" s="47">
        <f>V148*$A$3</f>
        <v>8.1646560000000008</v>
      </c>
      <c r="X148" s="44">
        <v>66.099999999999994</v>
      </c>
      <c r="Y148" s="54">
        <v>0.69</v>
      </c>
      <c r="Z148" s="47">
        <f>IF(Y148&gt;0,(Y148*$A$3),"")</f>
        <v>0.31297847999999995</v>
      </c>
      <c r="AA148" s="1">
        <v>0.42</v>
      </c>
      <c r="AB148" s="47">
        <f>IF(AA148&gt;0,(AA148*$A$3),"")</f>
        <v>0.19050863999999998</v>
      </c>
      <c r="AC148" s="1">
        <v>10.3</v>
      </c>
      <c r="AD148" s="1">
        <v>0.43</v>
      </c>
      <c r="AE148" s="6">
        <v>0.23</v>
      </c>
    </row>
    <row r="149" spans="1:31">
      <c r="A149" s="3"/>
      <c r="C149" s="47" t="str">
        <f>IF(B149&gt;0,(B149*$A$3),"")</f>
        <v/>
      </c>
      <c r="D149" s="1">
        <v>500</v>
      </c>
      <c r="E149" s="47">
        <f>IF(D149&gt;0,(D149*$A$3),"")</f>
        <v>226.79599999999999</v>
      </c>
      <c r="H149" s="1">
        <v>2.5</v>
      </c>
      <c r="I149" s="47">
        <f>IF(H149&gt;0,(H149*$A$3),"")</f>
        <v>1.13398</v>
      </c>
      <c r="J149" s="32">
        <v>8.09</v>
      </c>
      <c r="K149" s="25">
        <v>5.3</v>
      </c>
      <c r="L149" s="25">
        <v>2</v>
      </c>
      <c r="M149" s="25">
        <v>1.78</v>
      </c>
      <c r="N149" s="25">
        <v>8.6999999999999994E-2</v>
      </c>
      <c r="O149" s="33">
        <v>4.1000000000000002E-2</v>
      </c>
      <c r="P149" s="51">
        <f>J149*$A$3</f>
        <v>3.6695592800000001</v>
      </c>
      <c r="Q149" s="51">
        <f t="shared" si="2"/>
        <v>5.3</v>
      </c>
      <c r="R149" s="51">
        <f>L149*$A$3</f>
        <v>0.90718399999999999</v>
      </c>
      <c r="S149" s="51">
        <f>M149*$A$3</f>
        <v>0.80739375999999996</v>
      </c>
      <c r="T149" s="51">
        <f>N149*$A$3</f>
        <v>3.9462503999999995E-2</v>
      </c>
      <c r="U149" s="51">
        <f>O149*$A$3</f>
        <v>1.8597272000000001E-2</v>
      </c>
      <c r="V149" s="25">
        <v>11.5</v>
      </c>
      <c r="W149" s="47">
        <f>V149*$A$3</f>
        <v>5.2163079999999997</v>
      </c>
      <c r="X149" s="44">
        <v>70.099999999999994</v>
      </c>
      <c r="Y149" s="54">
        <v>0.74</v>
      </c>
      <c r="Z149" s="47">
        <f>IF(Y149&gt;0,(Y149*$A$3),"")</f>
        <v>0.33565807999999997</v>
      </c>
      <c r="AA149" s="1">
        <v>0.47</v>
      </c>
      <c r="AB149" s="47">
        <f>IF(AA149&gt;0,(AA149*$A$3),"")</f>
        <v>0.21318823999999997</v>
      </c>
      <c r="AC149" s="1">
        <v>15.4</v>
      </c>
      <c r="AD149" s="1">
        <v>0.76</v>
      </c>
      <c r="AE149" s="6">
        <v>0.35</v>
      </c>
    </row>
    <row r="150" spans="1:31">
      <c r="A150" s="3"/>
      <c r="C150" s="47" t="str">
        <f>IF(B150&gt;0,(B150*$A$3),"")</f>
        <v/>
      </c>
      <c r="D150" s="1">
        <v>600</v>
      </c>
      <c r="E150" s="47">
        <f>IF(D150&gt;0,(D150*$A$3),"")</f>
        <v>272.15519999999998</v>
      </c>
      <c r="H150" s="1">
        <v>2.5</v>
      </c>
      <c r="I150" s="47">
        <f>IF(H150&gt;0,(H150*$A$3),"")</f>
        <v>1.13398</v>
      </c>
      <c r="J150" s="32">
        <v>9.2899999999999991</v>
      </c>
      <c r="K150" s="25">
        <v>6.1</v>
      </c>
      <c r="L150" s="25">
        <v>2.4</v>
      </c>
      <c r="M150" s="25">
        <v>1.84</v>
      </c>
      <c r="N150" s="25">
        <v>8.6999999999999994E-2</v>
      </c>
      <c r="O150" s="33">
        <v>4.2000000000000003E-2</v>
      </c>
      <c r="P150" s="51">
        <f>J150*$A$3</f>
        <v>4.2138696799999993</v>
      </c>
      <c r="Q150" s="51">
        <f t="shared" si="2"/>
        <v>6.1</v>
      </c>
      <c r="R150" s="51">
        <f>L150*$A$3</f>
        <v>1.0886207999999999</v>
      </c>
      <c r="S150" s="51">
        <f>M150*$A$3</f>
        <v>0.83460928000000001</v>
      </c>
      <c r="T150" s="51">
        <f>N150*$A$3</f>
        <v>3.9462503999999995E-2</v>
      </c>
      <c r="U150" s="51">
        <f>O150*$A$3</f>
        <v>1.9050864000000001E-2</v>
      </c>
      <c r="V150" s="25">
        <v>13.2</v>
      </c>
      <c r="W150" s="47">
        <f>V150*$A$3</f>
        <v>5.9874143999999996</v>
      </c>
      <c r="X150" s="44">
        <v>70.2</v>
      </c>
      <c r="Y150" s="54">
        <v>0.75</v>
      </c>
      <c r="Z150" s="47">
        <f>IF(Y150&gt;0,(Y150*$A$3),"")</f>
        <v>0.340194</v>
      </c>
      <c r="AA150" s="1">
        <v>0.47</v>
      </c>
      <c r="AB150" s="47">
        <f>IF(AA150&gt;0,(AA150*$A$3),"")</f>
        <v>0.21318823999999997</v>
      </c>
      <c r="AC150" s="1">
        <v>13.9</v>
      </c>
      <c r="AD150" s="1">
        <v>0.66</v>
      </c>
      <c r="AE150" s="6">
        <v>0.31</v>
      </c>
    </row>
    <row r="151" spans="1:31">
      <c r="A151" s="3"/>
      <c r="C151" s="47" t="str">
        <f>IF(B151&gt;0,(B151*$A$3),"")</f>
        <v/>
      </c>
      <c r="D151" s="1">
        <v>700</v>
      </c>
      <c r="E151" s="47">
        <f>IF(D151&gt;0,(D151*$A$3),"")</f>
        <v>317.51440000000002</v>
      </c>
      <c r="H151" s="1">
        <v>2.5</v>
      </c>
      <c r="I151" s="47">
        <f>IF(H151&gt;0,(H151*$A$3),"")</f>
        <v>1.13398</v>
      </c>
      <c r="J151" s="32">
        <v>10.4</v>
      </c>
      <c r="K151" s="25">
        <v>6.8</v>
      </c>
      <c r="L151" s="25">
        <v>2.7</v>
      </c>
      <c r="M151" s="25">
        <v>1.9</v>
      </c>
      <c r="N151" s="25">
        <v>8.7999999999999995E-2</v>
      </c>
      <c r="O151" s="33">
        <v>4.2999999999999997E-2</v>
      </c>
      <c r="P151" s="51">
        <f>J151*$A$3</f>
        <v>4.7173568000000001</v>
      </c>
      <c r="Q151" s="51">
        <f t="shared" si="2"/>
        <v>6.8</v>
      </c>
      <c r="R151" s="51">
        <f>L151*$A$3</f>
        <v>1.2246984000000001</v>
      </c>
      <c r="S151" s="51">
        <f>M151*$A$3</f>
        <v>0.86182479999999995</v>
      </c>
      <c r="T151" s="51">
        <f>N151*$A$3</f>
        <v>3.9916095999999998E-2</v>
      </c>
      <c r="U151" s="51">
        <f>O151*$A$3</f>
        <v>1.9504456E-2</v>
      </c>
      <c r="V151" s="25">
        <v>14.9</v>
      </c>
      <c r="W151" s="47">
        <f>V151*$A$3</f>
        <v>6.7585208000000003</v>
      </c>
      <c r="X151" s="44">
        <v>70</v>
      </c>
      <c r="Y151" s="54">
        <v>0.74</v>
      </c>
      <c r="Z151" s="47">
        <f>IF(Y151&gt;0,(Y151*$A$3),"")</f>
        <v>0.33565807999999997</v>
      </c>
      <c r="AA151" s="1">
        <v>0.47</v>
      </c>
      <c r="AB151" s="47">
        <f>IF(AA151&gt;0,(AA151*$A$3),"")</f>
        <v>0.21318823999999997</v>
      </c>
      <c r="AC151" s="1">
        <v>12.8</v>
      </c>
      <c r="AD151" s="1">
        <v>0.59</v>
      </c>
      <c r="AE151" s="6">
        <v>0.28999999999999998</v>
      </c>
    </row>
    <row r="152" spans="1:31">
      <c r="A152" s="3"/>
      <c r="C152" s="47" t="str">
        <f>IF(B152&gt;0,(B152*$A$3),"")</f>
        <v/>
      </c>
      <c r="D152" s="1">
        <v>800</v>
      </c>
      <c r="E152" s="47">
        <f>IF(D152&gt;0,(D152*$A$3),"")</f>
        <v>362.87360000000001</v>
      </c>
      <c r="H152" s="1">
        <v>2.5</v>
      </c>
      <c r="I152" s="47">
        <f>IF(H152&gt;0,(H152*$A$3),"")</f>
        <v>1.13398</v>
      </c>
      <c r="J152" s="32">
        <v>11.48</v>
      </c>
      <c r="K152" s="25">
        <v>7.5</v>
      </c>
      <c r="L152" s="25">
        <v>2.9</v>
      </c>
      <c r="M152" s="25">
        <v>1.96</v>
      </c>
      <c r="N152" s="25">
        <v>8.7999999999999995E-2</v>
      </c>
      <c r="O152" s="33">
        <v>4.3999999999999997E-2</v>
      </c>
      <c r="P152" s="51">
        <f>J152*$A$3</f>
        <v>5.2072361599999999</v>
      </c>
      <c r="Q152" s="51">
        <f t="shared" si="2"/>
        <v>7.5</v>
      </c>
      <c r="R152" s="51">
        <f>L152*$A$3</f>
        <v>1.3154167999999999</v>
      </c>
      <c r="S152" s="51">
        <f>M152*$A$3</f>
        <v>0.88904032</v>
      </c>
      <c r="T152" s="51">
        <f>N152*$A$3</f>
        <v>3.9916095999999998E-2</v>
      </c>
      <c r="U152" s="51">
        <f>O152*$A$3</f>
        <v>1.9958047999999999E-2</v>
      </c>
      <c r="V152" s="25">
        <v>16.399999999999999</v>
      </c>
      <c r="W152" s="47">
        <f>V152*$A$3</f>
        <v>7.4389087999999992</v>
      </c>
      <c r="X152" s="44">
        <v>69.900000000000006</v>
      </c>
      <c r="Y152" s="54">
        <v>0.74</v>
      </c>
      <c r="Z152" s="47">
        <f>IF(Y152&gt;0,(Y152*$A$3),"")</f>
        <v>0.33565807999999997</v>
      </c>
      <c r="AA152" s="1">
        <v>0.47</v>
      </c>
      <c r="AB152" s="47">
        <f>IF(AA152&gt;0,(AA152*$A$3),"")</f>
        <v>0.21318823999999997</v>
      </c>
      <c r="AC152" s="1">
        <v>11.9</v>
      </c>
      <c r="AD152" s="1">
        <v>0.54</v>
      </c>
      <c r="AE152" s="6">
        <v>0.27</v>
      </c>
    </row>
    <row r="153" spans="1:31">
      <c r="A153" s="3"/>
      <c r="C153" s="47" t="str">
        <f>IF(B153&gt;0,(B153*$A$3),"")</f>
        <v/>
      </c>
      <c r="D153" s="1">
        <v>900</v>
      </c>
      <c r="E153" s="47">
        <f>IF(D153&gt;0,(D153*$A$3),"")</f>
        <v>408.2328</v>
      </c>
      <c r="H153" s="1">
        <v>2.5</v>
      </c>
      <c r="I153" s="47">
        <f>IF(H153&gt;0,(H153*$A$3),"")</f>
        <v>1.13398</v>
      </c>
      <c r="J153" s="32">
        <v>12.55</v>
      </c>
      <c r="K153" s="25">
        <v>8.1999999999999993</v>
      </c>
      <c r="L153" s="25">
        <v>3.2</v>
      </c>
      <c r="M153" s="25">
        <v>2.02</v>
      </c>
      <c r="N153" s="25">
        <v>8.8999999999999996E-2</v>
      </c>
      <c r="O153" s="33">
        <v>4.4999999999999998E-2</v>
      </c>
      <c r="P153" s="51">
        <f>J153*$A$3</f>
        <v>5.6925796000000002</v>
      </c>
      <c r="Q153" s="51">
        <f t="shared" si="2"/>
        <v>8.1999999999999993</v>
      </c>
      <c r="R153" s="51">
        <f>L153*$A$3</f>
        <v>1.4514944000000001</v>
      </c>
      <c r="S153" s="51">
        <f>M153*$A$3</f>
        <v>0.91625584000000004</v>
      </c>
      <c r="T153" s="51">
        <f>N153*$A$3</f>
        <v>4.0369688000000001E-2</v>
      </c>
      <c r="U153" s="51">
        <f>O153*$A$3</f>
        <v>2.0411639999999998E-2</v>
      </c>
      <c r="V153" s="25">
        <v>17.899999999999999</v>
      </c>
      <c r="W153" s="47">
        <f>V153*$A$3</f>
        <v>8.119296799999999</v>
      </c>
      <c r="X153" s="44">
        <v>69.900000000000006</v>
      </c>
      <c r="Y153" s="54">
        <v>0.74</v>
      </c>
      <c r="Z153" s="47">
        <f>IF(Y153&gt;0,(Y153*$A$3),"")</f>
        <v>0.33565807999999997</v>
      </c>
      <c r="AA153" s="1">
        <v>0.47</v>
      </c>
      <c r="AB153" s="47">
        <f>IF(AA153&gt;0,(AA153*$A$3),"")</f>
        <v>0.21318823999999997</v>
      </c>
      <c r="AC153" s="1">
        <v>11.2</v>
      </c>
      <c r="AD153" s="1">
        <v>0.49</v>
      </c>
      <c r="AE153" s="6">
        <v>0.25</v>
      </c>
    </row>
    <row r="154" spans="1:31">
      <c r="A154" s="3"/>
      <c r="C154" s="47" t="str">
        <f>IF(B154&gt;0,(B154*$A$3),"")</f>
        <v/>
      </c>
      <c r="D154" s="1">
        <v>500</v>
      </c>
      <c r="E154" s="47">
        <f>IF(D154&gt;0,(D154*$A$3),"")</f>
        <v>226.79599999999999</v>
      </c>
      <c r="H154" s="1">
        <v>3</v>
      </c>
      <c r="I154" s="47">
        <f>IF(H154&gt;0,(H154*$A$3),"")</f>
        <v>1.360776</v>
      </c>
      <c r="J154" s="32">
        <v>8.49</v>
      </c>
      <c r="K154" s="25">
        <v>5.3</v>
      </c>
      <c r="L154" s="25">
        <v>2.5</v>
      </c>
      <c r="M154" s="25">
        <v>1.99</v>
      </c>
      <c r="N154" s="25">
        <v>0.10100000000000001</v>
      </c>
      <c r="O154" s="33">
        <v>4.5999999999999999E-2</v>
      </c>
      <c r="P154" s="51">
        <f>J154*$A$3</f>
        <v>3.8509960800000003</v>
      </c>
      <c r="Q154" s="51">
        <f t="shared" si="2"/>
        <v>5.3</v>
      </c>
      <c r="R154" s="51">
        <f>L154*$A$3</f>
        <v>1.13398</v>
      </c>
      <c r="S154" s="51">
        <f>M154*$A$3</f>
        <v>0.90264807999999996</v>
      </c>
      <c r="T154" s="51">
        <f>N154*$A$3</f>
        <v>4.5812792000000005E-2</v>
      </c>
      <c r="U154" s="51">
        <f>O154*$A$3</f>
        <v>2.0865232000000001E-2</v>
      </c>
      <c r="V154" s="25">
        <v>11.4</v>
      </c>
      <c r="W154" s="47">
        <f>V154*$A$3</f>
        <v>5.1709487999999997</v>
      </c>
      <c r="X154" s="44">
        <v>74.3</v>
      </c>
      <c r="Y154" s="54">
        <v>0.8</v>
      </c>
      <c r="Z154" s="47">
        <f>IF(Y154&gt;0,(Y154*$A$3),"")</f>
        <v>0.36287360000000002</v>
      </c>
      <c r="AA154" s="1">
        <v>0.52</v>
      </c>
      <c r="AB154" s="47">
        <f>IF(AA154&gt;0,(AA154*$A$3),"")</f>
        <v>0.23586784</v>
      </c>
      <c r="AC154" s="1">
        <v>17.399999999999999</v>
      </c>
      <c r="AD154" s="1">
        <v>0.89</v>
      </c>
      <c r="AE154" s="6">
        <v>0.4</v>
      </c>
    </row>
    <row r="155" spans="1:31">
      <c r="A155" s="3"/>
      <c r="C155" s="47" t="str">
        <f>IF(B155&gt;0,(B155*$A$3),"")</f>
        <v/>
      </c>
      <c r="D155" s="1">
        <v>600</v>
      </c>
      <c r="E155" s="47">
        <f>IF(D155&gt;0,(D155*$A$3),"")</f>
        <v>272.15519999999998</v>
      </c>
      <c r="H155" s="1">
        <v>3</v>
      </c>
      <c r="I155" s="47">
        <f>IF(H155&gt;0,(H155*$A$3),"")</f>
        <v>1.360776</v>
      </c>
      <c r="J155" s="32">
        <v>9.75</v>
      </c>
      <c r="K155" s="25">
        <v>6.1</v>
      </c>
      <c r="L155" s="25">
        <v>2.9</v>
      </c>
      <c r="M155" s="25">
        <v>2.04</v>
      </c>
      <c r="N155" s="25">
        <v>0.10100000000000001</v>
      </c>
      <c r="O155" s="33">
        <v>4.7E-2</v>
      </c>
      <c r="P155" s="51">
        <f>J155*$A$3</f>
        <v>4.4225219999999998</v>
      </c>
      <c r="Q155" s="51">
        <f t="shared" ref="Q155:Q218" si="3">K155</f>
        <v>6.1</v>
      </c>
      <c r="R155" s="51">
        <f>L155*$A$3</f>
        <v>1.3154167999999999</v>
      </c>
      <c r="S155" s="51">
        <f>M155*$A$3</f>
        <v>0.92532767999999999</v>
      </c>
      <c r="T155" s="51">
        <f>N155*$A$3</f>
        <v>4.5812792000000005E-2</v>
      </c>
      <c r="U155" s="51">
        <f>O155*$A$3</f>
        <v>2.1318824E-2</v>
      </c>
      <c r="V155" s="25">
        <v>13.1</v>
      </c>
      <c r="W155" s="47">
        <f>V155*$A$3</f>
        <v>5.9420551999999995</v>
      </c>
      <c r="X155" s="44">
        <v>74.5</v>
      </c>
      <c r="Y155" s="54">
        <v>0.81</v>
      </c>
      <c r="Z155" s="47">
        <f>IF(Y155&gt;0,(Y155*$A$3),"")</f>
        <v>0.36740952000000004</v>
      </c>
      <c r="AA155" s="1">
        <v>0.52</v>
      </c>
      <c r="AB155" s="47">
        <f>IF(AA155&gt;0,(AA155*$A$3),"")</f>
        <v>0.23586784</v>
      </c>
      <c r="AC155" s="1">
        <v>15.6</v>
      </c>
      <c r="AD155" s="1">
        <v>0.77</v>
      </c>
      <c r="AE155" s="6">
        <v>0.36</v>
      </c>
    </row>
    <row r="156" spans="1:31">
      <c r="A156" s="3"/>
      <c r="C156" s="47" t="str">
        <f>IF(B156&gt;0,(B156*$A$3),"")</f>
        <v/>
      </c>
      <c r="D156" s="1">
        <v>700</v>
      </c>
      <c r="E156" s="47">
        <f>IF(D156&gt;0,(D156*$A$3),"")</f>
        <v>317.51440000000002</v>
      </c>
      <c r="H156" s="1">
        <v>3</v>
      </c>
      <c r="I156" s="47">
        <f>IF(H156&gt;0,(H156*$A$3),"")</f>
        <v>1.360776</v>
      </c>
      <c r="J156" s="32">
        <v>10.92</v>
      </c>
      <c r="K156" s="25">
        <v>6.8</v>
      </c>
      <c r="L156" s="25">
        <v>3.2</v>
      </c>
      <c r="M156" s="25">
        <v>2.09</v>
      </c>
      <c r="N156" s="25">
        <v>0.10100000000000001</v>
      </c>
      <c r="O156" s="33">
        <v>4.8000000000000001E-2</v>
      </c>
      <c r="P156" s="51">
        <f>J156*$A$3</f>
        <v>4.9532246400000002</v>
      </c>
      <c r="Q156" s="51">
        <f t="shared" si="3"/>
        <v>6.8</v>
      </c>
      <c r="R156" s="51">
        <f>L156*$A$3</f>
        <v>1.4514944000000001</v>
      </c>
      <c r="S156" s="51">
        <f>M156*$A$3</f>
        <v>0.9480072799999999</v>
      </c>
      <c r="T156" s="51">
        <f>N156*$A$3</f>
        <v>4.5812792000000005E-2</v>
      </c>
      <c r="U156" s="51">
        <f>O156*$A$3</f>
        <v>2.1772415999999999E-2</v>
      </c>
      <c r="V156" s="25">
        <v>14.7</v>
      </c>
      <c r="W156" s="47">
        <f>V156*$A$3</f>
        <v>6.6678023999999994</v>
      </c>
      <c r="X156" s="44">
        <v>74.3</v>
      </c>
      <c r="Y156" s="54">
        <v>0.8</v>
      </c>
      <c r="Z156" s="47">
        <f>IF(Y156&gt;0,(Y156*$A$3),"")</f>
        <v>0.36287360000000002</v>
      </c>
      <c r="AA156" s="1">
        <v>0.52</v>
      </c>
      <c r="AB156" s="47">
        <f>IF(AA156&gt;0,(AA156*$A$3),"")</f>
        <v>0.23586784</v>
      </c>
      <c r="AC156" s="1">
        <v>14.2</v>
      </c>
      <c r="AD156" s="1">
        <v>0.68</v>
      </c>
      <c r="AE156" s="6">
        <v>0.33</v>
      </c>
    </row>
    <row r="157" spans="1:31">
      <c r="A157" s="3"/>
      <c r="C157" s="47" t="str">
        <f>IF(B157&gt;0,(B157*$A$3),"")</f>
        <v/>
      </c>
      <c r="D157" s="1">
        <v>800</v>
      </c>
      <c r="E157" s="47">
        <f>IF(D157&gt;0,(D157*$A$3),"")</f>
        <v>362.87360000000001</v>
      </c>
      <c r="H157" s="1">
        <v>3</v>
      </c>
      <c r="I157" s="47">
        <f>IF(H157&gt;0,(H157*$A$3),"")</f>
        <v>1.360776</v>
      </c>
      <c r="J157" s="32">
        <v>12.06</v>
      </c>
      <c r="K157" s="25">
        <v>7.5</v>
      </c>
      <c r="L157" s="25">
        <v>3.6</v>
      </c>
      <c r="M157" s="25">
        <v>2.14</v>
      </c>
      <c r="N157" s="25">
        <v>0.1</v>
      </c>
      <c r="O157" s="33">
        <v>4.9000000000000002E-2</v>
      </c>
      <c r="P157" s="51">
        <f>J157*$A$3</f>
        <v>5.4703195200000003</v>
      </c>
      <c r="Q157" s="51">
        <f t="shared" si="3"/>
        <v>7.5</v>
      </c>
      <c r="R157" s="51">
        <f>L157*$A$3</f>
        <v>1.6329312</v>
      </c>
      <c r="S157" s="51">
        <f>M157*$A$3</f>
        <v>0.97068688000000003</v>
      </c>
      <c r="T157" s="51">
        <f>N157*$A$3</f>
        <v>4.5359200000000002E-2</v>
      </c>
      <c r="U157" s="51">
        <f>O157*$A$3</f>
        <v>2.2226008000000002E-2</v>
      </c>
      <c r="V157" s="25">
        <v>16.3</v>
      </c>
      <c r="W157" s="47">
        <f>V157*$A$3</f>
        <v>7.3935496000000001</v>
      </c>
      <c r="X157" s="44">
        <v>74.2</v>
      </c>
      <c r="Y157" s="54">
        <v>0.8</v>
      </c>
      <c r="Z157" s="47">
        <f>IF(Y157&gt;0,(Y157*$A$3),"")</f>
        <v>0.36287360000000002</v>
      </c>
      <c r="AA157" s="1">
        <v>0.52</v>
      </c>
      <c r="AB157" s="47">
        <f>IF(AA157&gt;0,(AA157*$A$3),"")</f>
        <v>0.23586784</v>
      </c>
      <c r="AC157" s="1">
        <v>13.2</v>
      </c>
      <c r="AD157" s="1">
        <v>0.62</v>
      </c>
      <c r="AE157" s="6">
        <v>0.3</v>
      </c>
    </row>
    <row r="158" spans="1:31">
      <c r="A158" s="13"/>
      <c r="B158" s="8"/>
      <c r="C158" s="47" t="str">
        <f>IF(B158&gt;0,(B158*$A$3),"")</f>
        <v/>
      </c>
      <c r="D158" s="8">
        <v>900</v>
      </c>
      <c r="E158" s="47">
        <f>IF(D158&gt;0,(D158*$A$3),"")</f>
        <v>408.2328</v>
      </c>
      <c r="F158" s="8"/>
      <c r="G158" s="8"/>
      <c r="H158" s="1">
        <v>3</v>
      </c>
      <c r="I158" s="47">
        <f>IF(H158&gt;0,(H158*$A$3),"")</f>
        <v>1.360776</v>
      </c>
      <c r="J158" s="34">
        <v>13.18</v>
      </c>
      <c r="K158" s="35">
        <v>8.1999999999999993</v>
      </c>
      <c r="L158" s="35">
        <v>3.9</v>
      </c>
      <c r="M158" s="35">
        <v>2.19</v>
      </c>
      <c r="N158" s="35">
        <v>0.1</v>
      </c>
      <c r="O158" s="36">
        <v>0.05</v>
      </c>
      <c r="P158" s="51">
        <f>J158*$A$3</f>
        <v>5.9783425599999998</v>
      </c>
      <c r="Q158" s="51">
        <f t="shared" si="3"/>
        <v>8.1999999999999993</v>
      </c>
      <c r="R158" s="51">
        <f>L158*$A$3</f>
        <v>1.7690087999999999</v>
      </c>
      <c r="S158" s="51">
        <f>M158*$A$3</f>
        <v>0.99336647999999994</v>
      </c>
      <c r="T158" s="51">
        <f>N158*$A$3</f>
        <v>4.5359200000000002E-2</v>
      </c>
      <c r="U158" s="51">
        <f>O158*$A$3</f>
        <v>2.2679600000000001E-2</v>
      </c>
      <c r="V158" s="35">
        <v>17.8</v>
      </c>
      <c r="W158" s="47">
        <f>V158*$A$3</f>
        <v>8.0739376000000007</v>
      </c>
      <c r="X158" s="46">
        <v>74.2</v>
      </c>
      <c r="Y158" s="56">
        <v>0.8</v>
      </c>
      <c r="Z158" s="47">
        <f>IF(Y158&gt;0,(Y158*$A$3),"")</f>
        <v>0.36287360000000002</v>
      </c>
      <c r="AA158" s="8">
        <v>0.52</v>
      </c>
      <c r="AB158" s="47">
        <f>IF(AA158&gt;0,(AA158*$A$3),"")</f>
        <v>0.23586784</v>
      </c>
      <c r="AC158" s="8">
        <v>12.3</v>
      </c>
      <c r="AD158" s="8">
        <v>0.56000000000000005</v>
      </c>
      <c r="AE158" s="9">
        <v>0.28000000000000003</v>
      </c>
    </row>
    <row r="159" spans="1:31">
      <c r="C159" s="47" t="str">
        <f>IF(B159&gt;0,(B159*$A$3),"")</f>
        <v/>
      </c>
      <c r="E159" s="47" t="str">
        <f>IF(D159&gt;0,(D159*$A$3),"")</f>
        <v/>
      </c>
      <c r="I159" s="47" t="str">
        <f>IF(H159&gt;0,(H159*$A$3),"")</f>
        <v/>
      </c>
      <c r="P159" s="51">
        <f>J159*$A$3</f>
        <v>0</v>
      </c>
      <c r="Q159" s="51">
        <f t="shared" si="3"/>
        <v>0</v>
      </c>
      <c r="R159" s="51">
        <f>L159*$A$3</f>
        <v>0</v>
      </c>
      <c r="S159" s="51">
        <f>M159*$A$3</f>
        <v>0</v>
      </c>
      <c r="T159" s="51">
        <f>N159*$A$3</f>
        <v>0</v>
      </c>
      <c r="U159" s="51">
        <f>O159*$A$3</f>
        <v>0</v>
      </c>
    </row>
    <row r="160" spans="1:31">
      <c r="A160" s="11"/>
      <c r="B160" s="10"/>
      <c r="C160" s="47" t="str">
        <f>IF(B160&gt;0,(B160*$A$3),"")</f>
        <v/>
      </c>
      <c r="D160" s="10"/>
      <c r="E160" s="47" t="str">
        <f>IF(D160&gt;0,(D160*$A$3),"")</f>
        <v/>
      </c>
      <c r="F160" s="10"/>
      <c r="G160" s="10"/>
      <c r="H160" s="10"/>
      <c r="I160" s="47" t="str">
        <f>IF(H160&gt;0,(H160*$A$3),"")</f>
        <v/>
      </c>
      <c r="J160" s="26" t="s">
        <v>10</v>
      </c>
      <c r="K160" s="27"/>
      <c r="L160" s="27"/>
      <c r="M160" s="27"/>
      <c r="N160" s="27"/>
      <c r="O160" s="28"/>
      <c r="P160" s="51" t="e">
        <f>J160*$A$3</f>
        <v>#VALUE!</v>
      </c>
      <c r="Q160" s="51">
        <f t="shared" si="3"/>
        <v>0</v>
      </c>
      <c r="R160" s="51">
        <f>L160*$A$3</f>
        <v>0</v>
      </c>
      <c r="S160" s="51">
        <f>M160*$A$3</f>
        <v>0</v>
      </c>
      <c r="T160" s="51">
        <f>N160*$A$3</f>
        <v>0</v>
      </c>
      <c r="U160" s="51">
        <f>O160*$A$3</f>
        <v>0</v>
      </c>
      <c r="V160" s="20" t="s">
        <v>21</v>
      </c>
      <c r="W160" s="21"/>
      <c r="X160" s="21"/>
      <c r="Y160" s="21"/>
      <c r="Z160" s="21"/>
      <c r="AA160" s="21"/>
      <c r="AB160" s="21"/>
      <c r="AC160" s="21"/>
      <c r="AD160" s="21"/>
      <c r="AE160" s="22"/>
    </row>
    <row r="161" spans="1:31" ht="39">
      <c r="A161" s="12" t="s">
        <v>43</v>
      </c>
      <c r="B161" s="2" t="s">
        <v>27</v>
      </c>
      <c r="C161" s="47" t="s">
        <v>132</v>
      </c>
      <c r="D161" s="2" t="s">
        <v>31</v>
      </c>
      <c r="E161" s="49" t="s">
        <v>128</v>
      </c>
      <c r="F161" s="2"/>
      <c r="G161" s="2"/>
      <c r="H161" s="2" t="s">
        <v>30</v>
      </c>
      <c r="I161" s="47" t="e">
        <f>IF(H161&gt;0,(H161*$A$3),"")</f>
        <v>#VALUE!</v>
      </c>
      <c r="J161" s="29" t="s">
        <v>11</v>
      </c>
      <c r="K161" s="30" t="s">
        <v>23</v>
      </c>
      <c r="L161" s="30" t="s">
        <v>24</v>
      </c>
      <c r="M161" s="30" t="s">
        <v>12</v>
      </c>
      <c r="N161" s="30" t="s">
        <v>13</v>
      </c>
      <c r="O161" s="31" t="s">
        <v>14</v>
      </c>
      <c r="P161" s="48" t="s">
        <v>130</v>
      </c>
      <c r="Q161" s="49" t="s">
        <v>23</v>
      </c>
      <c r="R161" s="49" t="s">
        <v>129</v>
      </c>
      <c r="S161" s="49" t="s">
        <v>117</v>
      </c>
      <c r="T161" s="49" t="s">
        <v>118</v>
      </c>
      <c r="U161" s="50" t="s">
        <v>119</v>
      </c>
      <c r="V161" s="29" t="s">
        <v>15</v>
      </c>
      <c r="W161" s="48" t="s">
        <v>120</v>
      </c>
      <c r="X161" s="45" t="s">
        <v>16</v>
      </c>
      <c r="Y161" s="55" t="s">
        <v>17</v>
      </c>
      <c r="Z161" s="49" t="s">
        <v>126</v>
      </c>
      <c r="AA161" s="2" t="s">
        <v>24</v>
      </c>
      <c r="AB161" s="49" t="s">
        <v>127</v>
      </c>
      <c r="AC161" s="2" t="s">
        <v>18</v>
      </c>
      <c r="AD161" s="2" t="s">
        <v>19</v>
      </c>
      <c r="AE161" s="4" t="s">
        <v>20</v>
      </c>
    </row>
    <row r="162" spans="1:31">
      <c r="A162" s="3"/>
      <c r="C162" s="47" t="str">
        <f>IF(B162&gt;0,(B162*$A$3),"")</f>
        <v/>
      </c>
      <c r="D162" s="1">
        <v>900</v>
      </c>
      <c r="E162" s="47">
        <f>IF(D162&gt;0,(D162*$A$3),"")</f>
        <v>408.2328</v>
      </c>
      <c r="H162" s="1">
        <v>1</v>
      </c>
      <c r="I162" s="47">
        <f>IF(H162&gt;0,(H162*$A$3),"")</f>
        <v>0.453592</v>
      </c>
      <c r="J162" s="32">
        <v>11.27</v>
      </c>
      <c r="K162" s="25">
        <v>8.1999999999999993</v>
      </c>
      <c r="L162" s="25">
        <v>1.2</v>
      </c>
      <c r="M162" s="25">
        <v>1.54</v>
      </c>
      <c r="N162" s="25">
        <v>5.1999999999999998E-2</v>
      </c>
      <c r="O162" s="33">
        <v>3.1E-2</v>
      </c>
      <c r="P162" s="51">
        <f>J162*$A$3</f>
        <v>5.1119818399999994</v>
      </c>
      <c r="Q162" s="51">
        <f t="shared" si="3"/>
        <v>8.1999999999999993</v>
      </c>
      <c r="R162" s="51">
        <f>L162*$A$3</f>
        <v>0.54431039999999997</v>
      </c>
      <c r="S162" s="51">
        <f>M162*$A$3</f>
        <v>0.69853167999999999</v>
      </c>
      <c r="T162" s="51">
        <f>N162*$A$3</f>
        <v>2.3586784E-2</v>
      </c>
      <c r="U162" s="51">
        <f>O162*$A$3</f>
        <v>1.4061351999999999E-2</v>
      </c>
      <c r="V162" s="32">
        <v>20.7</v>
      </c>
      <c r="W162" s="51">
        <f>V162*$A$3</f>
        <v>9.3893544000000002</v>
      </c>
      <c r="X162" s="44">
        <v>54.3</v>
      </c>
      <c r="Y162" s="54">
        <v>0.51</v>
      </c>
      <c r="Z162" s="47">
        <f>IF(Y162&gt;0,(Y162*$A$3),"")</f>
        <v>0.23133192</v>
      </c>
      <c r="AA162" s="1">
        <v>0.25</v>
      </c>
      <c r="AB162" s="47">
        <f>IF(AA162&gt;0,(AA162*$A$3),"")</f>
        <v>0.113398</v>
      </c>
      <c r="AC162" s="1">
        <v>7.4</v>
      </c>
      <c r="AD162" s="1">
        <v>0.25</v>
      </c>
      <c r="AE162" s="6">
        <v>0.15</v>
      </c>
    </row>
    <row r="163" spans="1:31">
      <c r="A163" s="3"/>
      <c r="C163" s="47" t="str">
        <f>IF(B163&gt;0,(B163*$A$3),"")</f>
        <v/>
      </c>
      <c r="D163" s="15">
        <v>1000</v>
      </c>
      <c r="E163" s="47">
        <f>IF(D163&gt;0,(D163*$A$3),"")</f>
        <v>453.59199999999998</v>
      </c>
      <c r="F163" s="15"/>
      <c r="G163" s="15"/>
      <c r="H163" s="1">
        <v>1</v>
      </c>
      <c r="I163" s="47">
        <f>IF(H163&gt;0,(H163*$A$3),"")</f>
        <v>0.453592</v>
      </c>
      <c r="J163" s="32">
        <v>12.21</v>
      </c>
      <c r="K163" s="25">
        <v>8.9</v>
      </c>
      <c r="L163" s="25">
        <v>1.3</v>
      </c>
      <c r="M163" s="25">
        <v>1.62</v>
      </c>
      <c r="N163" s="25">
        <v>5.3999999999999999E-2</v>
      </c>
      <c r="O163" s="33">
        <v>3.3000000000000002E-2</v>
      </c>
      <c r="P163" s="51">
        <f>J163*$A$3</f>
        <v>5.5383583200000004</v>
      </c>
      <c r="Q163" s="51">
        <f t="shared" si="3"/>
        <v>8.9</v>
      </c>
      <c r="R163" s="51">
        <f>L163*$A$3</f>
        <v>0.58966960000000002</v>
      </c>
      <c r="S163" s="51">
        <f>M163*$A$3</f>
        <v>0.73481904000000009</v>
      </c>
      <c r="T163" s="51">
        <f>N163*$A$3</f>
        <v>2.4493967999999998E-2</v>
      </c>
      <c r="U163" s="51">
        <f>O163*$A$3</f>
        <v>1.4968536000000001E-2</v>
      </c>
      <c r="V163" s="32">
        <v>22.5</v>
      </c>
      <c r="W163" s="51">
        <f>V163*$A$3</f>
        <v>10.205819999999999</v>
      </c>
      <c r="X163" s="44">
        <v>54.4</v>
      </c>
      <c r="Y163" s="54">
        <v>0.51</v>
      </c>
      <c r="Z163" s="47">
        <f>IF(Y163&gt;0,(Y163*$A$3),"")</f>
        <v>0.23133192</v>
      </c>
      <c r="AA163" s="1">
        <v>0.26</v>
      </c>
      <c r="AB163" s="47">
        <f>IF(AA163&gt;0,(AA163*$A$3),"")</f>
        <v>0.11793392</v>
      </c>
      <c r="AC163" s="1">
        <v>7.2</v>
      </c>
      <c r="AD163" s="1">
        <v>0.24</v>
      </c>
      <c r="AE163" s="6">
        <v>0.15</v>
      </c>
    </row>
    <row r="164" spans="1:31">
      <c r="A164" s="3"/>
      <c r="C164" s="47" t="str">
        <f>IF(B164&gt;0,(B164*$A$3),"")</f>
        <v/>
      </c>
      <c r="D164" s="15">
        <v>1100</v>
      </c>
      <c r="E164" s="47">
        <f>IF(D164&gt;0,(D164*$A$3),"")</f>
        <v>498.95119999999997</v>
      </c>
      <c r="F164" s="15"/>
      <c r="G164" s="15"/>
      <c r="H164" s="1">
        <v>1</v>
      </c>
      <c r="I164" s="47">
        <f>IF(H164&gt;0,(H164*$A$3),"")</f>
        <v>0.453592</v>
      </c>
      <c r="J164" s="32">
        <v>13.08</v>
      </c>
      <c r="K164" s="25">
        <v>9.5</v>
      </c>
      <c r="L164" s="25">
        <v>1.4</v>
      </c>
      <c r="M164" s="25">
        <v>1.69</v>
      </c>
      <c r="N164" s="25">
        <v>5.7000000000000002E-2</v>
      </c>
      <c r="O164" s="33">
        <v>3.5000000000000003E-2</v>
      </c>
      <c r="P164" s="51">
        <f>J164*$A$3</f>
        <v>5.9329833599999997</v>
      </c>
      <c r="Q164" s="51">
        <f t="shared" si="3"/>
        <v>9.5</v>
      </c>
      <c r="R164" s="51">
        <f>L164*$A$3</f>
        <v>0.63502879999999995</v>
      </c>
      <c r="S164" s="51">
        <f>M164*$A$3</f>
        <v>0.76657047999999994</v>
      </c>
      <c r="T164" s="51">
        <f>N164*$A$3</f>
        <v>2.5854743999999999E-2</v>
      </c>
      <c r="U164" s="51">
        <f>O164*$A$3</f>
        <v>1.5875720000000003E-2</v>
      </c>
      <c r="V164" s="32">
        <v>24.1</v>
      </c>
      <c r="W164" s="51">
        <f>V164*$A$3</f>
        <v>10.9315672</v>
      </c>
      <c r="X164" s="44">
        <v>54.3</v>
      </c>
      <c r="Y164" s="54">
        <v>0.51</v>
      </c>
      <c r="Z164" s="47">
        <f>IF(Y164&gt;0,(Y164*$A$3),"")</f>
        <v>0.23133192</v>
      </c>
      <c r="AA164" s="1">
        <v>0.25</v>
      </c>
      <c r="AB164" s="47">
        <f>IF(AA164&gt;0,(AA164*$A$3),"")</f>
        <v>0.113398</v>
      </c>
      <c r="AC164" s="1">
        <v>7</v>
      </c>
      <c r="AD164" s="1">
        <v>0.23</v>
      </c>
      <c r="AE164" s="6">
        <v>0.14000000000000001</v>
      </c>
    </row>
    <row r="165" spans="1:31">
      <c r="A165" s="3"/>
      <c r="C165" s="47" t="str">
        <f>IF(B165&gt;0,(B165*$A$3),"")</f>
        <v/>
      </c>
      <c r="D165" s="15">
        <v>1200</v>
      </c>
      <c r="E165" s="47">
        <f>IF(D165&gt;0,(D165*$A$3),"")</f>
        <v>544.31039999999996</v>
      </c>
      <c r="F165" s="15"/>
      <c r="G165" s="15"/>
      <c r="H165" s="1">
        <v>1</v>
      </c>
      <c r="I165" s="47">
        <f>IF(H165&gt;0,(H165*$A$3),"")</f>
        <v>0.453592</v>
      </c>
      <c r="J165" s="32">
        <v>14</v>
      </c>
      <c r="K165" s="25">
        <v>10.199999999999999</v>
      </c>
      <c r="L165" s="25">
        <v>1.5</v>
      </c>
      <c r="M165" s="25">
        <v>1.76</v>
      </c>
      <c r="N165" s="25">
        <v>5.8999999999999997E-2</v>
      </c>
      <c r="O165" s="33">
        <v>3.5999999999999997E-2</v>
      </c>
      <c r="P165" s="51">
        <f>J165*$A$3</f>
        <v>6.3502879999999999</v>
      </c>
      <c r="Q165" s="51">
        <f t="shared" si="3"/>
        <v>10.199999999999999</v>
      </c>
      <c r="R165" s="51">
        <f>L165*$A$3</f>
        <v>0.68038799999999999</v>
      </c>
      <c r="S165" s="51">
        <f>M165*$A$3</f>
        <v>0.79832192000000002</v>
      </c>
      <c r="T165" s="51">
        <f>N165*$A$3</f>
        <v>2.6761927999999997E-2</v>
      </c>
      <c r="U165" s="51">
        <f>O165*$A$3</f>
        <v>1.6329311999999999E-2</v>
      </c>
      <c r="V165" s="32">
        <v>25.7</v>
      </c>
      <c r="W165" s="51">
        <f>V165*$A$3</f>
        <v>11.657314399999999</v>
      </c>
      <c r="X165" s="44">
        <v>54.4</v>
      </c>
      <c r="Y165" s="54">
        <v>0.51</v>
      </c>
      <c r="Z165" s="47">
        <f>IF(Y165&gt;0,(Y165*$A$3),"")</f>
        <v>0.23133192</v>
      </c>
      <c r="AA165" s="1">
        <v>0.26</v>
      </c>
      <c r="AB165" s="47">
        <f>IF(AA165&gt;0,(AA165*$A$3),"")</f>
        <v>0.11793392</v>
      </c>
      <c r="AC165" s="1">
        <v>6.9</v>
      </c>
      <c r="AD165" s="1">
        <v>0.23</v>
      </c>
      <c r="AE165" s="6">
        <v>0.14000000000000001</v>
      </c>
    </row>
    <row r="166" spans="1:31">
      <c r="A166" s="3"/>
      <c r="C166" s="47" t="str">
        <f>IF(B166&gt;0,(B166*$A$3),"")</f>
        <v/>
      </c>
      <c r="D166" s="15">
        <v>1300</v>
      </c>
      <c r="E166" s="47">
        <f>IF(D166&gt;0,(D166*$A$3),"")</f>
        <v>589.66959999999995</v>
      </c>
      <c r="F166" s="15"/>
      <c r="G166" s="15"/>
      <c r="H166" s="1">
        <v>1</v>
      </c>
      <c r="I166" s="47">
        <f>IF(H166&gt;0,(H166*$A$3),"")</f>
        <v>0.453592</v>
      </c>
      <c r="J166" s="32">
        <v>14.85</v>
      </c>
      <c r="K166" s="25">
        <v>10.8</v>
      </c>
      <c r="L166" s="25">
        <v>1.5</v>
      </c>
      <c r="M166" s="25">
        <v>1.83</v>
      </c>
      <c r="N166" s="25">
        <v>6.0999999999999999E-2</v>
      </c>
      <c r="O166" s="33">
        <v>3.7999999999999999E-2</v>
      </c>
      <c r="P166" s="51">
        <f>J166*$A$3</f>
        <v>6.7358411999999994</v>
      </c>
      <c r="Q166" s="51">
        <f t="shared" si="3"/>
        <v>10.8</v>
      </c>
      <c r="R166" s="51">
        <f>L166*$A$3</f>
        <v>0.68038799999999999</v>
      </c>
      <c r="S166" s="51">
        <f>M166*$A$3</f>
        <v>0.83007335999999998</v>
      </c>
      <c r="T166" s="51">
        <f>N166*$A$3</f>
        <v>2.7669111999999999E-2</v>
      </c>
      <c r="U166" s="51">
        <f>O166*$A$3</f>
        <v>1.7236496E-2</v>
      </c>
      <c r="V166" s="32">
        <v>27.3</v>
      </c>
      <c r="W166" s="51">
        <f>V166*$A$3</f>
        <v>12.3830616</v>
      </c>
      <c r="X166" s="44">
        <v>54.3</v>
      </c>
      <c r="Y166" s="54">
        <v>0.51</v>
      </c>
      <c r="Z166" s="47">
        <f>IF(Y166&gt;0,(Y166*$A$3),"")</f>
        <v>0.23133192</v>
      </c>
      <c r="AA166" s="1">
        <v>0.25</v>
      </c>
      <c r="AB166" s="47">
        <f>IF(AA166&gt;0,(AA166*$A$3),"")</f>
        <v>0.113398</v>
      </c>
      <c r="AC166" s="1">
        <v>6.7</v>
      </c>
      <c r="AD166" s="1">
        <v>0.22</v>
      </c>
      <c r="AE166" s="6">
        <v>0.14000000000000001</v>
      </c>
    </row>
    <row r="167" spans="1:31">
      <c r="A167" s="3"/>
      <c r="C167" s="47" t="str">
        <f>IF(B167&gt;0,(B167*$A$3),"")</f>
        <v/>
      </c>
      <c r="D167" s="15">
        <v>1400</v>
      </c>
      <c r="E167" s="47">
        <f>IF(D167&gt;0,(D167*$A$3),"")</f>
        <v>635.02880000000005</v>
      </c>
      <c r="F167" s="15"/>
      <c r="G167" s="15"/>
      <c r="H167" s="1">
        <v>1</v>
      </c>
      <c r="I167" s="47">
        <f>IF(H167&gt;0,(H167*$A$3),"")</f>
        <v>0.453592</v>
      </c>
      <c r="J167" s="32">
        <v>15.68</v>
      </c>
      <c r="K167" s="25">
        <v>11.4</v>
      </c>
      <c r="L167" s="25">
        <v>1.6</v>
      </c>
      <c r="M167" s="25">
        <v>1.9</v>
      </c>
      <c r="N167" s="25">
        <v>6.3E-2</v>
      </c>
      <c r="O167" s="33">
        <v>0.04</v>
      </c>
      <c r="P167" s="51">
        <f>J167*$A$3</f>
        <v>7.11232256</v>
      </c>
      <c r="Q167" s="51">
        <f t="shared" si="3"/>
        <v>11.4</v>
      </c>
      <c r="R167" s="51">
        <f>L167*$A$3</f>
        <v>0.72574720000000004</v>
      </c>
      <c r="S167" s="51">
        <f>M167*$A$3</f>
        <v>0.86182479999999995</v>
      </c>
      <c r="T167" s="51">
        <f>N167*$A$3</f>
        <v>2.8576296000000001E-2</v>
      </c>
      <c r="U167" s="51">
        <f>O167*$A$3</f>
        <v>1.8143679999999999E-2</v>
      </c>
      <c r="V167" s="32">
        <v>28.9</v>
      </c>
      <c r="W167" s="51">
        <f>V167*$A$3</f>
        <v>13.108808799999998</v>
      </c>
      <c r="X167" s="44">
        <v>54.3</v>
      </c>
      <c r="Y167" s="54">
        <v>0.51</v>
      </c>
      <c r="Z167" s="47">
        <f>IF(Y167&gt;0,(Y167*$A$3),"")</f>
        <v>0.23133192</v>
      </c>
      <c r="AA167" s="1">
        <v>0.25</v>
      </c>
      <c r="AB167" s="47">
        <f>IF(AA167&gt;0,(AA167*$A$3),"")</f>
        <v>0.113398</v>
      </c>
      <c r="AC167" s="1">
        <v>6.6</v>
      </c>
      <c r="AD167" s="1">
        <v>0.22</v>
      </c>
      <c r="AE167" s="6">
        <v>0.14000000000000001</v>
      </c>
    </row>
    <row r="168" spans="1:31">
      <c r="A168" s="3"/>
      <c r="C168" s="47" t="str">
        <f>IF(B168&gt;0,(B168*$A$3),"")</f>
        <v/>
      </c>
      <c r="D168" s="15">
        <v>1500</v>
      </c>
      <c r="E168" s="47">
        <f>IF(D168&gt;0,(D168*$A$3),"")</f>
        <v>680.38800000000003</v>
      </c>
      <c r="F168" s="15"/>
      <c r="G168" s="15"/>
      <c r="H168" s="1">
        <v>1</v>
      </c>
      <c r="I168" s="47">
        <f>IF(H168&gt;0,(H168*$A$3),"")</f>
        <v>0.453592</v>
      </c>
      <c r="J168" s="32">
        <v>16.510000000000002</v>
      </c>
      <c r="K168" s="25">
        <v>12</v>
      </c>
      <c r="L168" s="25">
        <v>1.7</v>
      </c>
      <c r="M168" s="25">
        <v>1.97</v>
      </c>
      <c r="N168" s="25">
        <v>6.5000000000000002E-2</v>
      </c>
      <c r="O168" s="33">
        <v>4.2000000000000003E-2</v>
      </c>
      <c r="P168" s="51">
        <f>J168*$A$3</f>
        <v>7.4888039200000005</v>
      </c>
      <c r="Q168" s="51">
        <f t="shared" si="3"/>
        <v>12</v>
      </c>
      <c r="R168" s="51">
        <f>L168*$A$3</f>
        <v>0.77110639999999997</v>
      </c>
      <c r="S168" s="51">
        <f>M168*$A$3</f>
        <v>0.89357624000000002</v>
      </c>
      <c r="T168" s="51">
        <f>N168*$A$3</f>
        <v>2.9483479999999999E-2</v>
      </c>
      <c r="U168" s="51">
        <f>O168*$A$3</f>
        <v>1.9050864000000001E-2</v>
      </c>
      <c r="V168" s="32">
        <v>30.4</v>
      </c>
      <c r="W168" s="51">
        <f>V168*$A$3</f>
        <v>13.789196799999999</v>
      </c>
      <c r="X168" s="44">
        <v>54.3</v>
      </c>
      <c r="Y168" s="54">
        <v>0.51</v>
      </c>
      <c r="Z168" s="47">
        <f>IF(Y168&gt;0,(Y168*$A$3),"")</f>
        <v>0.23133192</v>
      </c>
      <c r="AA168" s="1">
        <v>0.25</v>
      </c>
      <c r="AB168" s="47">
        <f>IF(AA168&gt;0,(AA168*$A$3),"")</f>
        <v>0.113398</v>
      </c>
      <c r="AC168" s="1">
        <v>6.5</v>
      </c>
      <c r="AD168" s="1">
        <v>0.21</v>
      </c>
      <c r="AE168" s="6">
        <v>0.14000000000000001</v>
      </c>
    </row>
    <row r="169" spans="1:31">
      <c r="A169" s="3"/>
      <c r="C169" s="47" t="str">
        <f>IF(B169&gt;0,(B169*$A$3),"")</f>
        <v/>
      </c>
      <c r="D169" s="15">
        <v>1600</v>
      </c>
      <c r="E169" s="47">
        <f>IF(D169&gt;0,(D169*$A$3),"")</f>
        <v>725.74720000000002</v>
      </c>
      <c r="F169" s="15"/>
      <c r="G169" s="15"/>
      <c r="H169" s="1">
        <v>1</v>
      </c>
      <c r="I169" s="47">
        <f>IF(H169&gt;0,(H169*$A$3),"")</f>
        <v>0.453592</v>
      </c>
      <c r="J169" s="32">
        <v>17.329999999999998</v>
      </c>
      <c r="K169" s="25">
        <v>12.6</v>
      </c>
      <c r="L169" s="25">
        <v>1.8</v>
      </c>
      <c r="M169" s="25">
        <v>2.04</v>
      </c>
      <c r="N169" s="25">
        <v>6.7000000000000004E-2</v>
      </c>
      <c r="O169" s="33">
        <v>4.3999999999999997E-2</v>
      </c>
      <c r="P169" s="51">
        <f>J169*$A$3</f>
        <v>7.8607493599999989</v>
      </c>
      <c r="Q169" s="51">
        <f t="shared" si="3"/>
        <v>12.6</v>
      </c>
      <c r="R169" s="51">
        <f>L169*$A$3</f>
        <v>0.81646560000000001</v>
      </c>
      <c r="S169" s="51">
        <f>M169*$A$3</f>
        <v>0.92532767999999999</v>
      </c>
      <c r="T169" s="51">
        <f>N169*$A$3</f>
        <v>3.0390664000000001E-2</v>
      </c>
      <c r="U169" s="51">
        <f>O169*$A$3</f>
        <v>1.9958047999999999E-2</v>
      </c>
      <c r="V169" s="32">
        <v>31.9</v>
      </c>
      <c r="W169" s="51">
        <f>V169*$A$3</f>
        <v>14.4695848</v>
      </c>
      <c r="X169" s="44">
        <v>54.3</v>
      </c>
      <c r="Y169" s="54">
        <v>0.51</v>
      </c>
      <c r="Z169" s="47">
        <f>IF(Y169&gt;0,(Y169*$A$3),"")</f>
        <v>0.23133192</v>
      </c>
      <c r="AA169" s="1">
        <v>0.25</v>
      </c>
      <c r="AB169" s="47">
        <f>IF(AA169&gt;0,(AA169*$A$3),"")</f>
        <v>0.113398</v>
      </c>
      <c r="AC169" s="1">
        <v>6.4</v>
      </c>
      <c r="AD169" s="1">
        <v>0.21</v>
      </c>
      <c r="AE169" s="6">
        <v>0.14000000000000001</v>
      </c>
    </row>
    <row r="170" spans="1:31">
      <c r="A170" s="3"/>
      <c r="C170" s="47" t="str">
        <f>IF(B170&gt;0,(B170*$A$3),"")</f>
        <v/>
      </c>
      <c r="D170" s="15">
        <v>1700</v>
      </c>
      <c r="E170" s="47">
        <f>IF(D170&gt;0,(D170*$A$3),"")</f>
        <v>771.10640000000001</v>
      </c>
      <c r="F170" s="15"/>
      <c r="G170" s="15"/>
      <c r="H170" s="1">
        <v>1</v>
      </c>
      <c r="I170" s="47">
        <f>IF(H170&gt;0,(H170*$A$3),"")</f>
        <v>0.453592</v>
      </c>
      <c r="J170" s="32">
        <v>18.149999999999999</v>
      </c>
      <c r="K170" s="25">
        <v>13.2</v>
      </c>
      <c r="L170" s="25">
        <v>1.9</v>
      </c>
      <c r="M170" s="25">
        <v>2.1</v>
      </c>
      <c r="N170" s="25">
        <v>6.9000000000000006E-2</v>
      </c>
      <c r="O170" s="33">
        <v>4.5999999999999999E-2</v>
      </c>
      <c r="P170" s="51">
        <f>J170*$A$3</f>
        <v>8.2326947999999991</v>
      </c>
      <c r="Q170" s="51">
        <f t="shared" si="3"/>
        <v>13.2</v>
      </c>
      <c r="R170" s="51">
        <f>L170*$A$3</f>
        <v>0.86182479999999995</v>
      </c>
      <c r="S170" s="51">
        <f>M170*$A$3</f>
        <v>0.95254320000000003</v>
      </c>
      <c r="T170" s="51">
        <f>N170*$A$3</f>
        <v>3.1297848000000003E-2</v>
      </c>
      <c r="U170" s="51">
        <f>O170*$A$3</f>
        <v>2.0865232000000001E-2</v>
      </c>
      <c r="V170" s="32">
        <v>33.4</v>
      </c>
      <c r="W170" s="51">
        <f>V170*$A$3</f>
        <v>15.149972799999999</v>
      </c>
      <c r="X170" s="44">
        <v>54.3</v>
      </c>
      <c r="Y170" s="54">
        <v>0.51</v>
      </c>
      <c r="Z170" s="47">
        <f>IF(Y170&gt;0,(Y170*$A$3),"")</f>
        <v>0.23133192</v>
      </c>
      <c r="AA170" s="1">
        <v>0.25</v>
      </c>
      <c r="AB170" s="47">
        <f>IF(AA170&gt;0,(AA170*$A$3),"")</f>
        <v>0.113398</v>
      </c>
      <c r="AC170" s="1">
        <v>6.3</v>
      </c>
      <c r="AD170" s="1">
        <v>0.21</v>
      </c>
      <c r="AE170" s="6">
        <v>0.14000000000000001</v>
      </c>
    </row>
    <row r="171" spans="1:31">
      <c r="A171" s="3"/>
      <c r="C171" s="47" t="str">
        <f>IF(B171&gt;0,(B171*$A$3),"")</f>
        <v/>
      </c>
      <c r="D171" s="15">
        <v>1800</v>
      </c>
      <c r="E171" s="47">
        <f>IF(D171&gt;0,(D171*$A$3),"")</f>
        <v>816.46559999999999</v>
      </c>
      <c r="F171" s="15"/>
      <c r="G171" s="15"/>
      <c r="H171" s="1">
        <v>1</v>
      </c>
      <c r="I171" s="47">
        <f>IF(H171&gt;0,(H171*$A$3),"")</f>
        <v>0.453592</v>
      </c>
      <c r="J171" s="32">
        <v>18.96</v>
      </c>
      <c r="K171" s="25">
        <v>13.8</v>
      </c>
      <c r="L171" s="25">
        <v>2</v>
      </c>
      <c r="M171" s="25">
        <v>2.17</v>
      </c>
      <c r="N171" s="25">
        <v>7.1999999999999995E-2</v>
      </c>
      <c r="O171" s="33">
        <v>4.8000000000000001E-2</v>
      </c>
      <c r="P171" s="51">
        <f>J171*$A$3</f>
        <v>8.6001043199999998</v>
      </c>
      <c r="Q171" s="51">
        <f t="shared" si="3"/>
        <v>13.8</v>
      </c>
      <c r="R171" s="51">
        <f>L171*$A$3</f>
        <v>0.90718399999999999</v>
      </c>
      <c r="S171" s="51">
        <f>M171*$A$3</f>
        <v>0.98429464</v>
      </c>
      <c r="T171" s="51">
        <f>N171*$A$3</f>
        <v>3.2658623999999997E-2</v>
      </c>
      <c r="U171" s="51">
        <f>O171*$A$3</f>
        <v>2.1772415999999999E-2</v>
      </c>
      <c r="V171" s="32">
        <v>34.9</v>
      </c>
      <c r="W171" s="51">
        <f>V171*$A$3</f>
        <v>15.830360799999999</v>
      </c>
      <c r="X171" s="44">
        <v>54.3</v>
      </c>
      <c r="Y171" s="54">
        <v>0.51</v>
      </c>
      <c r="Z171" s="47">
        <f>IF(Y171&gt;0,(Y171*$A$3),"")</f>
        <v>0.23133192</v>
      </c>
      <c r="AA171" s="1">
        <v>0.25</v>
      </c>
      <c r="AB171" s="47">
        <f>IF(AA171&gt;0,(AA171*$A$3),"")</f>
        <v>0.113398</v>
      </c>
      <c r="AC171" s="1">
        <v>6.2</v>
      </c>
      <c r="AD171" s="1">
        <v>0.21</v>
      </c>
      <c r="AE171" s="6">
        <v>0.14000000000000001</v>
      </c>
    </row>
    <row r="172" spans="1:31">
      <c r="A172" s="3"/>
      <c r="C172" s="47" t="str">
        <f>IF(B172&gt;0,(B172*$A$3),"")</f>
        <v/>
      </c>
      <c r="D172" s="1">
        <v>900</v>
      </c>
      <c r="E172" s="47">
        <f>IF(D172&gt;0,(D172*$A$3),"")</f>
        <v>408.2328</v>
      </c>
      <c r="H172" s="1">
        <v>1.5</v>
      </c>
      <c r="I172" s="47">
        <f>IF(H172&gt;0,(H172*$A$3),"")</f>
        <v>0.68038799999999999</v>
      </c>
      <c r="J172" s="32">
        <v>12.03</v>
      </c>
      <c r="K172" s="25">
        <v>8.1999999999999993</v>
      </c>
      <c r="L172" s="25">
        <v>1.8</v>
      </c>
      <c r="M172" s="25">
        <v>1.75</v>
      </c>
      <c r="N172" s="25">
        <v>6.5000000000000002E-2</v>
      </c>
      <c r="O172" s="33">
        <v>3.5999999999999997E-2</v>
      </c>
      <c r="P172" s="51">
        <f>J172*$A$3</f>
        <v>5.4567117599999992</v>
      </c>
      <c r="Q172" s="51">
        <f t="shared" si="3"/>
        <v>8.1999999999999993</v>
      </c>
      <c r="R172" s="51">
        <f>L172*$A$3</f>
        <v>0.81646560000000001</v>
      </c>
      <c r="S172" s="51">
        <f>M172*$A$3</f>
        <v>0.79378599999999999</v>
      </c>
      <c r="T172" s="51">
        <f>N172*$A$3</f>
        <v>2.9483479999999999E-2</v>
      </c>
      <c r="U172" s="51">
        <f>O172*$A$3</f>
        <v>1.6329311999999999E-2</v>
      </c>
      <c r="V172" s="32">
        <v>21</v>
      </c>
      <c r="W172" s="51">
        <f>V172*$A$3</f>
        <v>9.5254320000000003</v>
      </c>
      <c r="X172" s="44">
        <v>57.2</v>
      </c>
      <c r="Y172" s="54">
        <v>0.55000000000000004</v>
      </c>
      <c r="Z172" s="47">
        <f>IF(Y172&gt;0,(Y172*$A$3),"")</f>
        <v>0.24947560000000002</v>
      </c>
      <c r="AA172" s="1">
        <v>0.3</v>
      </c>
      <c r="AB172" s="47">
        <f>IF(AA172&gt;0,(AA172*$A$3),"")</f>
        <v>0.13607759999999999</v>
      </c>
      <c r="AC172" s="1">
        <v>8.3000000000000007</v>
      </c>
      <c r="AD172" s="1">
        <v>0.31</v>
      </c>
      <c r="AE172" s="6">
        <v>0.17</v>
      </c>
    </row>
    <row r="173" spans="1:31">
      <c r="A173" s="3"/>
      <c r="C173" s="47" t="str">
        <f>IF(B173&gt;0,(B173*$A$3),"")</f>
        <v/>
      </c>
      <c r="D173" s="15">
        <v>1000</v>
      </c>
      <c r="E173" s="47">
        <f>IF(D173&gt;0,(D173*$A$3),"")</f>
        <v>453.59199999999998</v>
      </c>
      <c r="F173" s="15"/>
      <c r="G173" s="15"/>
      <c r="H173" s="1">
        <v>1.5</v>
      </c>
      <c r="I173" s="47">
        <f>IF(H173&gt;0,(H173*$A$3),"")</f>
        <v>0.68038799999999999</v>
      </c>
      <c r="J173" s="32">
        <v>13.03</v>
      </c>
      <c r="K173" s="25">
        <v>8.9</v>
      </c>
      <c r="L173" s="25">
        <v>2</v>
      </c>
      <c r="M173" s="25">
        <v>1.82</v>
      </c>
      <c r="N173" s="25">
        <v>6.6000000000000003E-2</v>
      </c>
      <c r="O173" s="33">
        <v>3.6999999999999998E-2</v>
      </c>
      <c r="P173" s="51">
        <f>J173*$A$3</f>
        <v>5.9103037599999997</v>
      </c>
      <c r="Q173" s="51">
        <f t="shared" si="3"/>
        <v>8.9</v>
      </c>
      <c r="R173" s="51">
        <f>L173*$A$3</f>
        <v>0.90718399999999999</v>
      </c>
      <c r="S173" s="51">
        <f>M173*$A$3</f>
        <v>0.82553744000000007</v>
      </c>
      <c r="T173" s="51">
        <f>N173*$A$3</f>
        <v>2.9937072000000002E-2</v>
      </c>
      <c r="U173" s="51">
        <f>O173*$A$3</f>
        <v>1.6782903999999998E-2</v>
      </c>
      <c r="V173" s="32">
        <v>22.8</v>
      </c>
      <c r="W173" s="51">
        <f>V173*$A$3</f>
        <v>10.341897599999999</v>
      </c>
      <c r="X173" s="44">
        <v>57.2</v>
      </c>
      <c r="Y173" s="54">
        <v>0.55000000000000004</v>
      </c>
      <c r="Z173" s="47">
        <f>IF(Y173&gt;0,(Y173*$A$3),"")</f>
        <v>0.24947560000000002</v>
      </c>
      <c r="AA173" s="1">
        <v>0.3</v>
      </c>
      <c r="AB173" s="47">
        <f>IF(AA173&gt;0,(AA173*$A$3),"")</f>
        <v>0.13607759999999999</v>
      </c>
      <c r="AC173" s="1">
        <v>8</v>
      </c>
      <c r="AD173" s="1">
        <v>0.28999999999999998</v>
      </c>
      <c r="AE173" s="6">
        <v>0.16</v>
      </c>
    </row>
    <row r="174" spans="1:31">
      <c r="A174" s="3"/>
      <c r="C174" s="47" t="str">
        <f>IF(B174&gt;0,(B174*$A$3),"")</f>
        <v/>
      </c>
      <c r="D174" s="15">
        <v>1100</v>
      </c>
      <c r="E174" s="47">
        <f>IF(D174&gt;0,(D174*$A$3),"")</f>
        <v>498.95119999999997</v>
      </c>
      <c r="F174" s="15"/>
      <c r="G174" s="15"/>
      <c r="H174" s="1">
        <v>1.5</v>
      </c>
      <c r="I174" s="47">
        <f>IF(H174&gt;0,(H174*$A$3),"")</f>
        <v>0.68038799999999999</v>
      </c>
      <c r="J174" s="32">
        <v>13.97</v>
      </c>
      <c r="K174" s="25">
        <v>9.5</v>
      </c>
      <c r="L174" s="25">
        <v>2.1</v>
      </c>
      <c r="M174" s="25">
        <v>1.89</v>
      </c>
      <c r="N174" s="25">
        <v>6.8000000000000005E-2</v>
      </c>
      <c r="O174" s="33">
        <v>3.9E-2</v>
      </c>
      <c r="P174" s="51">
        <f>J174*$A$3</f>
        <v>6.3366802400000006</v>
      </c>
      <c r="Q174" s="51">
        <f t="shared" si="3"/>
        <v>9.5</v>
      </c>
      <c r="R174" s="51">
        <f>L174*$A$3</f>
        <v>0.95254320000000003</v>
      </c>
      <c r="S174" s="51">
        <f>M174*$A$3</f>
        <v>0.85728887999999992</v>
      </c>
      <c r="T174" s="51">
        <f>N174*$A$3</f>
        <v>3.0844256E-2</v>
      </c>
      <c r="U174" s="51">
        <f>O174*$A$3</f>
        <v>1.7690088E-2</v>
      </c>
      <c r="V174" s="32">
        <v>24.5</v>
      </c>
      <c r="W174" s="51">
        <f>V174*$A$3</f>
        <v>11.113004</v>
      </c>
      <c r="X174" s="44">
        <v>57.1</v>
      </c>
      <c r="Y174" s="54">
        <v>0.55000000000000004</v>
      </c>
      <c r="Z174" s="47">
        <f>IF(Y174&gt;0,(Y174*$A$3),"")</f>
        <v>0.24947560000000002</v>
      </c>
      <c r="AA174" s="1">
        <v>0.28999999999999998</v>
      </c>
      <c r="AB174" s="47">
        <f>IF(AA174&gt;0,(AA174*$A$3),"")</f>
        <v>0.13154167999999999</v>
      </c>
      <c r="AC174" s="1">
        <v>7.7</v>
      </c>
      <c r="AD174" s="1">
        <v>0.28000000000000003</v>
      </c>
      <c r="AE174" s="6">
        <v>0.16</v>
      </c>
    </row>
    <row r="175" spans="1:31">
      <c r="A175" s="3"/>
      <c r="C175" s="47" t="str">
        <f>IF(B175&gt;0,(B175*$A$3),"")</f>
        <v/>
      </c>
      <c r="D175" s="15">
        <v>1200</v>
      </c>
      <c r="E175" s="47">
        <f>IF(D175&gt;0,(D175*$A$3),"")</f>
        <v>544.31039999999996</v>
      </c>
      <c r="F175" s="15"/>
      <c r="G175" s="15"/>
      <c r="H175" s="1">
        <v>1.5</v>
      </c>
      <c r="I175" s="47">
        <f>IF(H175&gt;0,(H175*$A$3),"")</f>
        <v>0.68038799999999999</v>
      </c>
      <c r="J175" s="32">
        <v>14.94</v>
      </c>
      <c r="K175" s="25">
        <v>10.199999999999999</v>
      </c>
      <c r="L175" s="25">
        <v>2.2999999999999998</v>
      </c>
      <c r="M175" s="25">
        <v>1.95</v>
      </c>
      <c r="N175" s="25">
        <v>6.9000000000000006E-2</v>
      </c>
      <c r="O175" s="33">
        <v>4.1000000000000002E-2</v>
      </c>
      <c r="P175" s="51">
        <f>J175*$A$3</f>
        <v>6.77666448</v>
      </c>
      <c r="Q175" s="51">
        <f t="shared" si="3"/>
        <v>10.199999999999999</v>
      </c>
      <c r="R175" s="51">
        <f>L175*$A$3</f>
        <v>1.0432615999999999</v>
      </c>
      <c r="S175" s="51">
        <f>M175*$A$3</f>
        <v>0.88450439999999997</v>
      </c>
      <c r="T175" s="51">
        <f>N175*$A$3</f>
        <v>3.1297848000000003E-2</v>
      </c>
      <c r="U175" s="51">
        <f>O175*$A$3</f>
        <v>1.8597272000000001E-2</v>
      </c>
      <c r="V175" s="32">
        <v>26.1</v>
      </c>
      <c r="W175" s="51">
        <f>V175*$A$3</f>
        <v>11.838751200000001</v>
      </c>
      <c r="X175" s="44">
        <v>57.2</v>
      </c>
      <c r="Y175" s="54">
        <v>0.55000000000000004</v>
      </c>
      <c r="Z175" s="47">
        <f>IF(Y175&gt;0,(Y175*$A$3),"")</f>
        <v>0.24947560000000002</v>
      </c>
      <c r="AA175" s="1">
        <v>0.3</v>
      </c>
      <c r="AB175" s="47">
        <f>IF(AA175&gt;0,(AA175*$A$3),"")</f>
        <v>0.13607759999999999</v>
      </c>
      <c r="AC175" s="1">
        <v>7.5</v>
      </c>
      <c r="AD175" s="1">
        <v>0.27</v>
      </c>
      <c r="AE175" s="6">
        <v>0.16</v>
      </c>
    </row>
    <row r="176" spans="1:31">
      <c r="A176" s="3"/>
      <c r="C176" s="47" t="str">
        <f>IF(B176&gt;0,(B176*$A$3),"")</f>
        <v/>
      </c>
      <c r="D176" s="15">
        <v>1300</v>
      </c>
      <c r="E176" s="47">
        <f>IF(D176&gt;0,(D176*$A$3),"")</f>
        <v>589.66959999999995</v>
      </c>
      <c r="F176" s="15"/>
      <c r="G176" s="15"/>
      <c r="H176" s="1">
        <v>1.5</v>
      </c>
      <c r="I176" s="47">
        <f>IF(H176&gt;0,(H176*$A$3),"")</f>
        <v>0.68038799999999999</v>
      </c>
      <c r="J176" s="32">
        <v>15.86</v>
      </c>
      <c r="K176" s="25">
        <v>10.8</v>
      </c>
      <c r="L176" s="25">
        <v>2.4</v>
      </c>
      <c r="M176" s="25">
        <v>2.0099999999999998</v>
      </c>
      <c r="N176" s="25">
        <v>7.0999999999999994E-2</v>
      </c>
      <c r="O176" s="33">
        <v>4.2999999999999997E-2</v>
      </c>
      <c r="P176" s="51">
        <f>J176*$A$3</f>
        <v>7.1939691199999993</v>
      </c>
      <c r="Q176" s="51">
        <f t="shared" si="3"/>
        <v>10.8</v>
      </c>
      <c r="R176" s="51">
        <f>L176*$A$3</f>
        <v>1.0886207999999999</v>
      </c>
      <c r="S176" s="51">
        <f>M176*$A$3</f>
        <v>0.91171991999999991</v>
      </c>
      <c r="T176" s="51">
        <f>N176*$A$3</f>
        <v>3.2205031999999995E-2</v>
      </c>
      <c r="U176" s="51">
        <f>O176*$A$3</f>
        <v>1.9504456E-2</v>
      </c>
      <c r="V176" s="32">
        <v>27.7</v>
      </c>
      <c r="W176" s="51">
        <f>V176*$A$3</f>
        <v>12.5644984</v>
      </c>
      <c r="X176" s="44">
        <v>57.2</v>
      </c>
      <c r="Y176" s="54">
        <v>0.55000000000000004</v>
      </c>
      <c r="Z176" s="47">
        <f>IF(Y176&gt;0,(Y176*$A$3),"")</f>
        <v>0.24947560000000002</v>
      </c>
      <c r="AA176" s="1">
        <v>0.3</v>
      </c>
      <c r="AB176" s="47">
        <f>IF(AA176&gt;0,(AA176*$A$3),"")</f>
        <v>0.13607759999999999</v>
      </c>
      <c r="AC176" s="1">
        <v>7.3</v>
      </c>
      <c r="AD176" s="1">
        <v>0.26</v>
      </c>
      <c r="AE176" s="6">
        <v>0.15</v>
      </c>
    </row>
    <row r="177" spans="1:31">
      <c r="A177" s="3"/>
      <c r="C177" s="47" t="str">
        <f>IF(B177&gt;0,(B177*$A$3),"")</f>
        <v/>
      </c>
      <c r="D177" s="15">
        <v>1400</v>
      </c>
      <c r="E177" s="47">
        <f>IF(D177&gt;0,(D177*$A$3),"")</f>
        <v>635.02880000000005</v>
      </c>
      <c r="F177" s="15"/>
      <c r="G177" s="15"/>
      <c r="H177" s="1">
        <v>1.5</v>
      </c>
      <c r="I177" s="47">
        <f>IF(H177&gt;0,(H177*$A$3),"")</f>
        <v>0.68038799999999999</v>
      </c>
      <c r="J177" s="32">
        <v>16.739999999999998</v>
      </c>
      <c r="K177" s="25">
        <v>11.4</v>
      </c>
      <c r="L177" s="25">
        <v>2.5</v>
      </c>
      <c r="M177" s="25">
        <v>2.0699999999999998</v>
      </c>
      <c r="N177" s="25">
        <v>7.2999999999999995E-2</v>
      </c>
      <c r="O177" s="33">
        <v>4.3999999999999997E-2</v>
      </c>
      <c r="P177" s="51">
        <f>J177*$A$3</f>
        <v>7.593130079999999</v>
      </c>
      <c r="Q177" s="51">
        <f t="shared" si="3"/>
        <v>11.4</v>
      </c>
      <c r="R177" s="51">
        <f>L177*$A$3</f>
        <v>1.13398</v>
      </c>
      <c r="S177" s="51">
        <f>M177*$A$3</f>
        <v>0.93893543999999995</v>
      </c>
      <c r="T177" s="51">
        <f>N177*$A$3</f>
        <v>3.3112216E-2</v>
      </c>
      <c r="U177" s="51">
        <f>O177*$A$3</f>
        <v>1.9958047999999999E-2</v>
      </c>
      <c r="V177" s="32">
        <v>29.3</v>
      </c>
      <c r="W177" s="51">
        <f>V177*$A$3</f>
        <v>13.2902456</v>
      </c>
      <c r="X177" s="44">
        <v>57.1</v>
      </c>
      <c r="Y177" s="54">
        <v>0.55000000000000004</v>
      </c>
      <c r="Z177" s="47">
        <f>IF(Y177&gt;0,(Y177*$A$3),"")</f>
        <v>0.24947560000000002</v>
      </c>
      <c r="AA177" s="1">
        <v>0.28999999999999998</v>
      </c>
      <c r="AB177" s="47">
        <f>IF(AA177&gt;0,(AA177*$A$3),"")</f>
        <v>0.13154167999999999</v>
      </c>
      <c r="AC177" s="1">
        <v>7.1</v>
      </c>
      <c r="AD177" s="1">
        <v>0.25</v>
      </c>
      <c r="AE177" s="6">
        <v>0.15</v>
      </c>
    </row>
    <row r="178" spans="1:31">
      <c r="A178" s="3"/>
      <c r="C178" s="47" t="str">
        <f>IF(B178&gt;0,(B178*$A$3),"")</f>
        <v/>
      </c>
      <c r="D178" s="15">
        <v>1500</v>
      </c>
      <c r="E178" s="47">
        <f>IF(D178&gt;0,(D178*$A$3),"")</f>
        <v>680.38800000000003</v>
      </c>
      <c r="F178" s="15"/>
      <c r="G178" s="15"/>
      <c r="H178" s="1">
        <v>1.5</v>
      </c>
      <c r="I178" s="47">
        <f>IF(H178&gt;0,(H178*$A$3),"")</f>
        <v>0.68038799999999999</v>
      </c>
      <c r="J178" s="32">
        <v>17.64</v>
      </c>
      <c r="K178" s="25">
        <v>12</v>
      </c>
      <c r="L178" s="25">
        <v>2.6</v>
      </c>
      <c r="M178" s="25">
        <v>2.13</v>
      </c>
      <c r="N178" s="25">
        <v>7.4999999999999997E-2</v>
      </c>
      <c r="O178" s="33">
        <v>4.5999999999999999E-2</v>
      </c>
      <c r="P178" s="51">
        <f>J178*$A$3</f>
        <v>8.0013628800000003</v>
      </c>
      <c r="Q178" s="51">
        <f t="shared" si="3"/>
        <v>12</v>
      </c>
      <c r="R178" s="51">
        <f>L178*$A$3</f>
        <v>1.1793392</v>
      </c>
      <c r="S178" s="51">
        <f>M178*$A$3</f>
        <v>0.96615095999999989</v>
      </c>
      <c r="T178" s="51">
        <f>N178*$A$3</f>
        <v>3.4019399999999998E-2</v>
      </c>
      <c r="U178" s="51">
        <f>O178*$A$3</f>
        <v>2.0865232000000001E-2</v>
      </c>
      <c r="V178" s="32">
        <v>30.9</v>
      </c>
      <c r="W178" s="51">
        <f>V178*$A$3</f>
        <v>14.015992799999999</v>
      </c>
      <c r="X178" s="44">
        <v>57.1</v>
      </c>
      <c r="Y178" s="54">
        <v>0.55000000000000004</v>
      </c>
      <c r="Z178" s="47">
        <f>IF(Y178&gt;0,(Y178*$A$3),"")</f>
        <v>0.24947560000000002</v>
      </c>
      <c r="AA178" s="1">
        <v>0.28999999999999998</v>
      </c>
      <c r="AB178" s="47">
        <f>IF(AA178&gt;0,(AA178*$A$3),"")</f>
        <v>0.13154167999999999</v>
      </c>
      <c r="AC178" s="1">
        <v>6.9</v>
      </c>
      <c r="AD178" s="1">
        <v>0.24</v>
      </c>
      <c r="AE178" s="6">
        <v>0.15</v>
      </c>
    </row>
    <row r="179" spans="1:31">
      <c r="A179" s="3"/>
      <c r="C179" s="47" t="str">
        <f>IF(B179&gt;0,(B179*$A$3),"")</f>
        <v/>
      </c>
      <c r="D179" s="15">
        <v>1600</v>
      </c>
      <c r="E179" s="47">
        <f>IF(D179&gt;0,(D179*$A$3),"")</f>
        <v>725.74720000000002</v>
      </c>
      <c r="F179" s="15"/>
      <c r="G179" s="15"/>
      <c r="H179" s="1">
        <v>1.5</v>
      </c>
      <c r="I179" s="47">
        <f>IF(H179&gt;0,(H179*$A$3),"")</f>
        <v>0.68038799999999999</v>
      </c>
      <c r="J179" s="32">
        <v>18.510000000000002</v>
      </c>
      <c r="K179" s="25">
        <v>12.6</v>
      </c>
      <c r="L179" s="25">
        <v>2.8</v>
      </c>
      <c r="M179" s="25">
        <v>2.19</v>
      </c>
      <c r="N179" s="25">
        <v>7.5999999999999998E-2</v>
      </c>
      <c r="O179" s="33">
        <v>4.8000000000000001E-2</v>
      </c>
      <c r="P179" s="51">
        <f>J179*$A$3</f>
        <v>8.3959879200000014</v>
      </c>
      <c r="Q179" s="51">
        <f t="shared" si="3"/>
        <v>12.6</v>
      </c>
      <c r="R179" s="51">
        <f>L179*$A$3</f>
        <v>1.2700575999999999</v>
      </c>
      <c r="S179" s="51">
        <f>M179*$A$3</f>
        <v>0.99336647999999994</v>
      </c>
      <c r="T179" s="51">
        <f>N179*$A$3</f>
        <v>3.4472992000000001E-2</v>
      </c>
      <c r="U179" s="51">
        <f>O179*$A$3</f>
        <v>2.1772415999999999E-2</v>
      </c>
      <c r="V179" s="32">
        <v>32.4</v>
      </c>
      <c r="W179" s="51">
        <f>V179*$A$3</f>
        <v>14.6963808</v>
      </c>
      <c r="X179" s="44">
        <v>57.1</v>
      </c>
      <c r="Y179" s="54">
        <v>0.55000000000000004</v>
      </c>
      <c r="Z179" s="47">
        <f>IF(Y179&gt;0,(Y179*$A$3),"")</f>
        <v>0.24947560000000002</v>
      </c>
      <c r="AA179" s="1">
        <v>0.28999999999999998</v>
      </c>
      <c r="AB179" s="47">
        <f>IF(AA179&gt;0,(AA179*$A$3),"")</f>
        <v>0.13154167999999999</v>
      </c>
      <c r="AC179" s="1">
        <v>6.8</v>
      </c>
      <c r="AD179" s="1">
        <v>0.24</v>
      </c>
      <c r="AE179" s="6">
        <v>0.15</v>
      </c>
    </row>
    <row r="180" spans="1:31">
      <c r="A180" s="3"/>
      <c r="C180" s="47" t="str">
        <f>IF(B180&gt;0,(B180*$A$3),"")</f>
        <v/>
      </c>
      <c r="D180" s="15">
        <v>1700</v>
      </c>
      <c r="E180" s="47">
        <f>IF(D180&gt;0,(D180*$A$3),"")</f>
        <v>771.10640000000001</v>
      </c>
      <c r="F180" s="15"/>
      <c r="G180" s="15"/>
      <c r="H180" s="1">
        <v>1.5</v>
      </c>
      <c r="I180" s="47">
        <f>IF(H180&gt;0,(H180*$A$3),"")</f>
        <v>0.68038799999999999</v>
      </c>
      <c r="J180" s="32">
        <v>19.38</v>
      </c>
      <c r="K180" s="25">
        <v>13.2</v>
      </c>
      <c r="L180" s="25">
        <v>2.9</v>
      </c>
      <c r="M180" s="25">
        <v>2.25</v>
      </c>
      <c r="N180" s="25">
        <v>7.8E-2</v>
      </c>
      <c r="O180" s="33">
        <v>0.05</v>
      </c>
      <c r="P180" s="51">
        <f>J180*$A$3</f>
        <v>8.7906129599999989</v>
      </c>
      <c r="Q180" s="51">
        <f t="shared" si="3"/>
        <v>13.2</v>
      </c>
      <c r="R180" s="51">
        <f>L180*$A$3</f>
        <v>1.3154167999999999</v>
      </c>
      <c r="S180" s="51">
        <f>M180*$A$3</f>
        <v>1.0205820000000001</v>
      </c>
      <c r="T180" s="51">
        <f>N180*$A$3</f>
        <v>3.5380175999999999E-2</v>
      </c>
      <c r="U180" s="51">
        <f>O180*$A$3</f>
        <v>2.2679600000000001E-2</v>
      </c>
      <c r="V180" s="32">
        <v>33.9</v>
      </c>
      <c r="W180" s="51">
        <f>V180*$A$3</f>
        <v>15.376768799999999</v>
      </c>
      <c r="X180" s="44">
        <v>57.1</v>
      </c>
      <c r="Y180" s="54">
        <v>0.55000000000000004</v>
      </c>
      <c r="Z180" s="47">
        <f>IF(Y180&gt;0,(Y180*$A$3),"")</f>
        <v>0.24947560000000002</v>
      </c>
      <c r="AA180" s="1">
        <v>0.28999999999999998</v>
      </c>
      <c r="AB180" s="47">
        <f>IF(AA180&gt;0,(AA180*$A$3),"")</f>
        <v>0.13154167999999999</v>
      </c>
      <c r="AC180" s="1">
        <v>6.6</v>
      </c>
      <c r="AD180" s="1">
        <v>0.23</v>
      </c>
      <c r="AE180" s="6">
        <v>0.15</v>
      </c>
    </row>
    <row r="181" spans="1:31">
      <c r="A181" s="3"/>
      <c r="C181" s="47" t="str">
        <f>IF(B181&gt;0,(B181*$A$3),"")</f>
        <v/>
      </c>
      <c r="D181" s="15">
        <v>1800</v>
      </c>
      <c r="E181" s="47">
        <f>IF(D181&gt;0,(D181*$A$3),"")</f>
        <v>816.46559999999999</v>
      </c>
      <c r="F181" s="15"/>
      <c r="G181" s="15"/>
      <c r="H181" s="1">
        <v>1.5</v>
      </c>
      <c r="I181" s="47">
        <f>IF(H181&gt;0,(H181*$A$3),"")</f>
        <v>0.68038799999999999</v>
      </c>
      <c r="J181" s="32">
        <v>20.239999999999998</v>
      </c>
      <c r="K181" s="25">
        <v>13.8</v>
      </c>
      <c r="L181" s="25">
        <v>3.1</v>
      </c>
      <c r="M181" s="25">
        <v>2.31</v>
      </c>
      <c r="N181" s="25">
        <v>0.08</v>
      </c>
      <c r="O181" s="33">
        <v>5.0999999999999997E-2</v>
      </c>
      <c r="P181" s="51">
        <f>J181*$A$3</f>
        <v>9.1807020799999997</v>
      </c>
      <c r="Q181" s="51">
        <f t="shared" si="3"/>
        <v>13.8</v>
      </c>
      <c r="R181" s="51">
        <f>L181*$A$3</f>
        <v>1.4061352</v>
      </c>
      <c r="S181" s="51">
        <f>M181*$A$3</f>
        <v>1.04779752</v>
      </c>
      <c r="T181" s="51">
        <f>N181*$A$3</f>
        <v>3.6287359999999998E-2</v>
      </c>
      <c r="U181" s="51">
        <f>O181*$A$3</f>
        <v>2.3133191999999997E-2</v>
      </c>
      <c r="V181" s="32">
        <v>35.4</v>
      </c>
      <c r="W181" s="51">
        <f>V181*$A$3</f>
        <v>16.057156799999998</v>
      </c>
      <c r="X181" s="44">
        <v>57.2</v>
      </c>
      <c r="Y181" s="54">
        <v>0.55000000000000004</v>
      </c>
      <c r="Z181" s="47">
        <f>IF(Y181&gt;0,(Y181*$A$3),"")</f>
        <v>0.24947560000000002</v>
      </c>
      <c r="AA181" s="1">
        <v>0.3</v>
      </c>
      <c r="AB181" s="47">
        <f>IF(AA181&gt;0,(AA181*$A$3),"")</f>
        <v>0.13607759999999999</v>
      </c>
      <c r="AC181" s="1">
        <v>6.5</v>
      </c>
      <c r="AD181" s="1">
        <v>0.23</v>
      </c>
      <c r="AE181" s="6">
        <v>0.15</v>
      </c>
    </row>
    <row r="182" spans="1:31">
      <c r="A182" s="3"/>
      <c r="C182" s="47" t="str">
        <f>IF(B182&gt;0,(B182*$A$3),"")</f>
        <v/>
      </c>
      <c r="D182" s="1">
        <v>900</v>
      </c>
      <c r="E182" s="47">
        <f>IF(D182&gt;0,(D182*$A$3),"")</f>
        <v>408.2328</v>
      </c>
      <c r="H182" s="1">
        <v>2</v>
      </c>
      <c r="I182" s="47">
        <f>IF(H182&gt;0,(H182*$A$3),"")</f>
        <v>0.90718399999999999</v>
      </c>
      <c r="J182" s="32">
        <v>12.74</v>
      </c>
      <c r="K182" s="25">
        <v>8.1999999999999993</v>
      </c>
      <c r="L182" s="25">
        <v>2.6</v>
      </c>
      <c r="M182" s="25">
        <v>1.96</v>
      </c>
      <c r="N182" s="25">
        <v>7.6999999999999999E-2</v>
      </c>
      <c r="O182" s="33">
        <v>4.1000000000000002E-2</v>
      </c>
      <c r="P182" s="51">
        <f>J182*$A$3</f>
        <v>5.7787620799999999</v>
      </c>
      <c r="Q182" s="51">
        <f t="shared" si="3"/>
        <v>8.1999999999999993</v>
      </c>
      <c r="R182" s="51">
        <f>L182*$A$3</f>
        <v>1.1793392</v>
      </c>
      <c r="S182" s="51">
        <f>M182*$A$3</f>
        <v>0.88904032</v>
      </c>
      <c r="T182" s="51">
        <f>N182*$A$3</f>
        <v>3.4926583999999997E-2</v>
      </c>
      <c r="U182" s="51">
        <f>O182*$A$3</f>
        <v>1.8597272000000001E-2</v>
      </c>
      <c r="V182" s="32">
        <v>21.2</v>
      </c>
      <c r="W182" s="51">
        <f>V182*$A$3</f>
        <v>9.6161504000000004</v>
      </c>
      <c r="X182" s="44">
        <v>60.1</v>
      </c>
      <c r="Y182" s="54">
        <v>0.6</v>
      </c>
      <c r="Z182" s="47">
        <f>IF(Y182&gt;0,(Y182*$A$3),"")</f>
        <v>0.27215519999999999</v>
      </c>
      <c r="AA182" s="1">
        <v>0.34</v>
      </c>
      <c r="AB182" s="47">
        <f>IF(AA182&gt;0,(AA182*$A$3),"")</f>
        <v>0.15422128000000002</v>
      </c>
      <c r="AC182" s="1">
        <v>9.3000000000000007</v>
      </c>
      <c r="AD182" s="1">
        <v>0.36</v>
      </c>
      <c r="AE182" s="6">
        <v>0.19</v>
      </c>
    </row>
    <row r="183" spans="1:31">
      <c r="A183" s="3"/>
      <c r="C183" s="47" t="str">
        <f>IF(B183&gt;0,(B183*$A$3),"")</f>
        <v/>
      </c>
      <c r="D183" s="15">
        <v>1000</v>
      </c>
      <c r="E183" s="47">
        <f>IF(D183&gt;0,(D183*$A$3),"")</f>
        <v>453.59199999999998</v>
      </c>
      <c r="F183" s="15"/>
      <c r="G183" s="15"/>
      <c r="H183" s="1">
        <v>2</v>
      </c>
      <c r="I183" s="47">
        <f>IF(H183&gt;0,(H183*$A$3),"")</f>
        <v>0.90718399999999999</v>
      </c>
      <c r="J183" s="32">
        <v>13.8</v>
      </c>
      <c r="K183" s="25">
        <v>8.9</v>
      </c>
      <c r="L183" s="25">
        <v>2.7</v>
      </c>
      <c r="M183" s="25">
        <v>2.02</v>
      </c>
      <c r="N183" s="25">
        <v>7.8E-2</v>
      </c>
      <c r="O183" s="33">
        <v>4.2000000000000003E-2</v>
      </c>
      <c r="P183" s="51">
        <f>J183*$A$3</f>
        <v>6.2595695999999998</v>
      </c>
      <c r="Q183" s="51">
        <f t="shared" si="3"/>
        <v>8.9</v>
      </c>
      <c r="R183" s="51">
        <f>L183*$A$3</f>
        <v>1.2246984000000001</v>
      </c>
      <c r="S183" s="51">
        <f>M183*$A$3</f>
        <v>0.91625584000000004</v>
      </c>
      <c r="T183" s="51">
        <f>N183*$A$3</f>
        <v>3.5380175999999999E-2</v>
      </c>
      <c r="U183" s="51">
        <f>O183*$A$3</f>
        <v>1.9050864000000001E-2</v>
      </c>
      <c r="V183" s="32">
        <v>22.9</v>
      </c>
      <c r="W183" s="51">
        <f>V183*$A$3</f>
        <v>10.387256799999999</v>
      </c>
      <c r="X183" s="44">
        <v>60.2</v>
      </c>
      <c r="Y183" s="54">
        <v>0.6</v>
      </c>
      <c r="Z183" s="47">
        <f>IF(Y183&gt;0,(Y183*$A$3),"")</f>
        <v>0.27215519999999999</v>
      </c>
      <c r="AA183" s="1">
        <v>0.34</v>
      </c>
      <c r="AB183" s="47">
        <f>IF(AA183&gt;0,(AA183*$A$3),"")</f>
        <v>0.15422128000000002</v>
      </c>
      <c r="AC183" s="1">
        <v>8.8000000000000007</v>
      </c>
      <c r="AD183" s="1">
        <v>0.34</v>
      </c>
      <c r="AE183" s="6">
        <v>0.18</v>
      </c>
    </row>
    <row r="184" spans="1:31">
      <c r="A184" s="3"/>
      <c r="C184" s="47" t="str">
        <f>IF(B184&gt;0,(B184*$A$3),"")</f>
        <v/>
      </c>
      <c r="D184" s="15">
        <v>1100</v>
      </c>
      <c r="E184" s="47">
        <f>IF(D184&gt;0,(D184*$A$3),"")</f>
        <v>498.95119999999997</v>
      </c>
      <c r="F184" s="15"/>
      <c r="G184" s="15"/>
      <c r="H184" s="1">
        <v>2</v>
      </c>
      <c r="I184" s="47">
        <f>IF(H184&gt;0,(H184*$A$3),"")</f>
        <v>0.90718399999999999</v>
      </c>
      <c r="J184" s="32">
        <v>14.79</v>
      </c>
      <c r="K184" s="25">
        <v>9.5</v>
      </c>
      <c r="L184" s="25">
        <v>3</v>
      </c>
      <c r="M184" s="25">
        <v>2.08</v>
      </c>
      <c r="N184" s="25">
        <v>7.9000000000000001E-2</v>
      </c>
      <c r="O184" s="33">
        <v>4.3999999999999997E-2</v>
      </c>
      <c r="P184" s="51">
        <f>J184*$A$3</f>
        <v>6.7086256799999999</v>
      </c>
      <c r="Q184" s="51">
        <f t="shared" si="3"/>
        <v>9.5</v>
      </c>
      <c r="R184" s="51">
        <f>L184*$A$3</f>
        <v>1.360776</v>
      </c>
      <c r="S184" s="51">
        <f>M184*$A$3</f>
        <v>0.94347135999999998</v>
      </c>
      <c r="T184" s="51">
        <f>N184*$A$3</f>
        <v>3.5833768000000002E-2</v>
      </c>
      <c r="U184" s="51">
        <f>O184*$A$3</f>
        <v>1.9958047999999999E-2</v>
      </c>
      <c r="V184" s="32">
        <v>24.6</v>
      </c>
      <c r="W184" s="51">
        <f>V184*$A$3</f>
        <v>11.1583632</v>
      </c>
      <c r="X184" s="44">
        <v>60.1</v>
      </c>
      <c r="Y184" s="54">
        <v>0.6</v>
      </c>
      <c r="Z184" s="47">
        <f>IF(Y184&gt;0,(Y184*$A$3),"")</f>
        <v>0.27215519999999999</v>
      </c>
      <c r="AA184" s="1">
        <v>0.34</v>
      </c>
      <c r="AB184" s="47">
        <f>IF(AA184&gt;0,(AA184*$A$3),"")</f>
        <v>0.15422128000000002</v>
      </c>
      <c r="AC184" s="1">
        <v>8.4</v>
      </c>
      <c r="AD184" s="1">
        <v>0.32</v>
      </c>
      <c r="AE184" s="6">
        <v>0.18</v>
      </c>
    </row>
    <row r="185" spans="1:31">
      <c r="A185" s="3"/>
      <c r="C185" s="47" t="str">
        <f>IF(B185&gt;0,(B185*$A$3),"")</f>
        <v/>
      </c>
      <c r="D185" s="15">
        <v>1200</v>
      </c>
      <c r="E185" s="47">
        <f>IF(D185&gt;0,(D185*$A$3),"")</f>
        <v>544.31039999999996</v>
      </c>
      <c r="F185" s="15"/>
      <c r="G185" s="15"/>
      <c r="H185" s="1">
        <v>2</v>
      </c>
      <c r="I185" s="47">
        <f>IF(H185&gt;0,(H185*$A$3),"")</f>
        <v>0.90718399999999999</v>
      </c>
      <c r="J185" s="32">
        <v>15.82</v>
      </c>
      <c r="K185" s="25">
        <v>10.199999999999999</v>
      </c>
      <c r="L185" s="25">
        <v>3.2</v>
      </c>
      <c r="M185" s="25">
        <v>2.13</v>
      </c>
      <c r="N185" s="25">
        <v>0.08</v>
      </c>
      <c r="O185" s="33">
        <v>4.4999999999999998E-2</v>
      </c>
      <c r="P185" s="51">
        <f>J185*$A$3</f>
        <v>7.1758254399999997</v>
      </c>
      <c r="Q185" s="51">
        <f t="shared" si="3"/>
        <v>10.199999999999999</v>
      </c>
      <c r="R185" s="51">
        <f>L185*$A$3</f>
        <v>1.4514944000000001</v>
      </c>
      <c r="S185" s="51">
        <f>M185*$A$3</f>
        <v>0.96615095999999989</v>
      </c>
      <c r="T185" s="51">
        <f>N185*$A$3</f>
        <v>3.6287359999999998E-2</v>
      </c>
      <c r="U185" s="51">
        <f>O185*$A$3</f>
        <v>2.0411639999999998E-2</v>
      </c>
      <c r="V185" s="32">
        <v>26.3</v>
      </c>
      <c r="W185" s="51">
        <f>V185*$A$3</f>
        <v>11.929469600000001</v>
      </c>
      <c r="X185" s="44">
        <v>60.2</v>
      </c>
      <c r="Y185" s="54">
        <v>0.6</v>
      </c>
      <c r="Z185" s="47">
        <f>IF(Y185&gt;0,(Y185*$A$3),"")</f>
        <v>0.27215519999999999</v>
      </c>
      <c r="AA185" s="1">
        <v>0.34</v>
      </c>
      <c r="AB185" s="47">
        <f>IF(AA185&gt;0,(AA185*$A$3),"")</f>
        <v>0.15422128000000002</v>
      </c>
      <c r="AC185" s="1">
        <v>8.1</v>
      </c>
      <c r="AD185" s="1">
        <v>0.3</v>
      </c>
      <c r="AE185" s="6">
        <v>0.17</v>
      </c>
    </row>
    <row r="186" spans="1:31">
      <c r="A186" s="3"/>
      <c r="C186" s="47" t="str">
        <f>IF(B186&gt;0,(B186*$A$3),"")</f>
        <v/>
      </c>
      <c r="D186" s="15">
        <v>1300</v>
      </c>
      <c r="E186" s="47">
        <f>IF(D186&gt;0,(D186*$A$3),"")</f>
        <v>589.66959999999995</v>
      </c>
      <c r="F186" s="15"/>
      <c r="G186" s="15"/>
      <c r="H186" s="1">
        <v>2</v>
      </c>
      <c r="I186" s="47">
        <f>IF(H186&gt;0,(H186*$A$3),"")</f>
        <v>0.90718399999999999</v>
      </c>
      <c r="J186" s="32">
        <v>16.79</v>
      </c>
      <c r="K186" s="25">
        <v>10.8</v>
      </c>
      <c r="L186" s="25">
        <v>3.4</v>
      </c>
      <c r="M186" s="25">
        <v>2.19</v>
      </c>
      <c r="N186" s="25">
        <v>8.1000000000000003E-2</v>
      </c>
      <c r="O186" s="33">
        <v>4.7E-2</v>
      </c>
      <c r="P186" s="51">
        <f>J186*$A$3</f>
        <v>7.6158096799999999</v>
      </c>
      <c r="Q186" s="51">
        <f t="shared" si="3"/>
        <v>10.8</v>
      </c>
      <c r="R186" s="51">
        <f>L186*$A$3</f>
        <v>1.5422127999999999</v>
      </c>
      <c r="S186" s="51">
        <f>M186*$A$3</f>
        <v>0.99336647999999994</v>
      </c>
      <c r="T186" s="51">
        <f>N186*$A$3</f>
        <v>3.6740952E-2</v>
      </c>
      <c r="U186" s="51">
        <f>O186*$A$3</f>
        <v>2.1318824E-2</v>
      </c>
      <c r="V186" s="32">
        <v>27.9</v>
      </c>
      <c r="W186" s="51">
        <f>V186*$A$3</f>
        <v>12.6552168</v>
      </c>
      <c r="X186" s="44">
        <v>60.1</v>
      </c>
      <c r="Y186" s="54">
        <v>0.6</v>
      </c>
      <c r="Z186" s="47">
        <f>IF(Y186&gt;0,(Y186*$A$3),"")</f>
        <v>0.27215519999999999</v>
      </c>
      <c r="AA186" s="1">
        <v>0.34</v>
      </c>
      <c r="AB186" s="47">
        <f>IF(AA186&gt;0,(AA186*$A$3),"")</f>
        <v>0.15422128000000002</v>
      </c>
      <c r="AC186" s="1">
        <v>7.8</v>
      </c>
      <c r="AD186" s="1">
        <v>0.28999999999999998</v>
      </c>
      <c r="AE186" s="6">
        <v>0.17</v>
      </c>
    </row>
    <row r="187" spans="1:31">
      <c r="A187" s="3"/>
      <c r="C187" s="47" t="str">
        <f>IF(B187&gt;0,(B187*$A$3),"")</f>
        <v/>
      </c>
      <c r="D187" s="15">
        <v>1400</v>
      </c>
      <c r="E187" s="47">
        <f>IF(D187&gt;0,(D187*$A$3),"")</f>
        <v>635.02880000000005</v>
      </c>
      <c r="F187" s="15"/>
      <c r="G187" s="15"/>
      <c r="H187" s="1">
        <v>2</v>
      </c>
      <c r="I187" s="47">
        <f>IF(H187&gt;0,(H187*$A$3),"")</f>
        <v>0.90718399999999999</v>
      </c>
      <c r="J187" s="32">
        <v>17.739999999999998</v>
      </c>
      <c r="K187" s="25">
        <v>11.4</v>
      </c>
      <c r="L187" s="25">
        <v>3.6</v>
      </c>
      <c r="M187" s="25">
        <v>2.2400000000000002</v>
      </c>
      <c r="N187" s="25">
        <v>8.2000000000000003E-2</v>
      </c>
      <c r="O187" s="33">
        <v>4.8000000000000001E-2</v>
      </c>
      <c r="P187" s="51">
        <f>J187*$A$3</f>
        <v>8.0467220799999986</v>
      </c>
      <c r="Q187" s="51">
        <f t="shared" si="3"/>
        <v>11.4</v>
      </c>
      <c r="R187" s="51">
        <f>L187*$A$3</f>
        <v>1.6329312</v>
      </c>
      <c r="S187" s="51">
        <f>M187*$A$3</f>
        <v>1.0160460800000002</v>
      </c>
      <c r="T187" s="51">
        <f>N187*$A$3</f>
        <v>3.7194544000000003E-2</v>
      </c>
      <c r="U187" s="51">
        <f>O187*$A$3</f>
        <v>2.1772415999999999E-2</v>
      </c>
      <c r="V187" s="32">
        <v>29.5</v>
      </c>
      <c r="W187" s="51">
        <f>V187*$A$3</f>
        <v>13.380964000000001</v>
      </c>
      <c r="X187" s="44">
        <v>60.1</v>
      </c>
      <c r="Y187" s="54">
        <v>0.6</v>
      </c>
      <c r="Z187" s="47">
        <f>IF(Y187&gt;0,(Y187*$A$3),"")</f>
        <v>0.27215519999999999</v>
      </c>
      <c r="AA187" s="1">
        <v>0.34</v>
      </c>
      <c r="AB187" s="47">
        <f>IF(AA187&gt;0,(AA187*$A$3),"")</f>
        <v>0.15422128000000002</v>
      </c>
      <c r="AC187" s="1">
        <v>7.6</v>
      </c>
      <c r="AD187" s="1">
        <v>0.28000000000000003</v>
      </c>
      <c r="AE187" s="6">
        <v>0.16</v>
      </c>
    </row>
    <row r="188" spans="1:31">
      <c r="A188" s="3"/>
      <c r="C188" s="47" t="str">
        <f>IF(B188&gt;0,(B188*$A$3),"")</f>
        <v/>
      </c>
      <c r="D188" s="15">
        <v>1500</v>
      </c>
      <c r="E188" s="47">
        <f>IF(D188&gt;0,(D188*$A$3),"")</f>
        <v>680.38800000000003</v>
      </c>
      <c r="F188" s="15"/>
      <c r="G188" s="15"/>
      <c r="H188" s="1">
        <v>2</v>
      </c>
      <c r="I188" s="47">
        <f>IF(H188&gt;0,(H188*$A$3),"")</f>
        <v>0.90718399999999999</v>
      </c>
      <c r="J188" s="32">
        <v>18.670000000000002</v>
      </c>
      <c r="K188" s="25">
        <v>12</v>
      </c>
      <c r="L188" s="25">
        <v>3.8</v>
      </c>
      <c r="M188" s="25">
        <v>2.29</v>
      </c>
      <c r="N188" s="25">
        <v>8.4000000000000005E-2</v>
      </c>
      <c r="O188" s="33">
        <v>0.05</v>
      </c>
      <c r="P188" s="51">
        <f>J188*$A$3</f>
        <v>8.46856264</v>
      </c>
      <c r="Q188" s="51">
        <f t="shared" si="3"/>
        <v>12</v>
      </c>
      <c r="R188" s="51">
        <f>L188*$A$3</f>
        <v>1.7236495999999999</v>
      </c>
      <c r="S188" s="51">
        <f>M188*$A$3</f>
        <v>1.03872568</v>
      </c>
      <c r="T188" s="51">
        <f>N188*$A$3</f>
        <v>3.8101728000000001E-2</v>
      </c>
      <c r="U188" s="51">
        <f>O188*$A$3</f>
        <v>2.2679600000000001E-2</v>
      </c>
      <c r="V188" s="32">
        <v>31.1</v>
      </c>
      <c r="W188" s="51">
        <f>V188*$A$3</f>
        <v>14.106711200000001</v>
      </c>
      <c r="X188" s="44">
        <v>60.1</v>
      </c>
      <c r="Y188" s="54">
        <v>0.6</v>
      </c>
      <c r="Z188" s="47">
        <f>IF(Y188&gt;0,(Y188*$A$3),"")</f>
        <v>0.27215519999999999</v>
      </c>
      <c r="AA188" s="1">
        <v>0.34</v>
      </c>
      <c r="AB188" s="47">
        <f>IF(AA188&gt;0,(AA188*$A$3),"")</f>
        <v>0.15422128000000002</v>
      </c>
      <c r="AC188" s="1">
        <v>7.4</v>
      </c>
      <c r="AD188" s="1">
        <v>0.27</v>
      </c>
      <c r="AE188" s="6">
        <v>0.16</v>
      </c>
    </row>
    <row r="189" spans="1:31">
      <c r="A189" s="3"/>
      <c r="C189" s="47" t="str">
        <f>IF(B189&gt;0,(B189*$A$3),"")</f>
        <v/>
      </c>
      <c r="D189" s="15">
        <v>1600</v>
      </c>
      <c r="E189" s="47">
        <f>IF(D189&gt;0,(D189*$A$3),"")</f>
        <v>725.74720000000002</v>
      </c>
      <c r="F189" s="15"/>
      <c r="G189" s="15"/>
      <c r="H189" s="1">
        <v>2</v>
      </c>
      <c r="I189" s="47">
        <f>IF(H189&gt;0,(H189*$A$3),"")</f>
        <v>0.90718399999999999</v>
      </c>
      <c r="J189" s="32">
        <v>19.600000000000001</v>
      </c>
      <c r="K189" s="25">
        <v>12.6</v>
      </c>
      <c r="L189" s="25">
        <v>3.9</v>
      </c>
      <c r="M189" s="25">
        <v>2.34</v>
      </c>
      <c r="N189" s="25">
        <v>8.5000000000000006E-2</v>
      </c>
      <c r="O189" s="33">
        <v>5.0999999999999997E-2</v>
      </c>
      <c r="P189" s="51">
        <f>J189*$A$3</f>
        <v>8.8904031999999997</v>
      </c>
      <c r="Q189" s="51">
        <f t="shared" si="3"/>
        <v>12.6</v>
      </c>
      <c r="R189" s="51">
        <f>L189*$A$3</f>
        <v>1.7690087999999999</v>
      </c>
      <c r="S189" s="51">
        <f>M189*$A$3</f>
        <v>1.06140528</v>
      </c>
      <c r="T189" s="51">
        <f>N189*$A$3</f>
        <v>3.8555320000000004E-2</v>
      </c>
      <c r="U189" s="51">
        <f>O189*$A$3</f>
        <v>2.3133191999999997E-2</v>
      </c>
      <c r="V189" s="32">
        <v>32.6</v>
      </c>
      <c r="W189" s="51">
        <f>V189*$A$3</f>
        <v>14.7870992</v>
      </c>
      <c r="X189" s="44">
        <v>60.1</v>
      </c>
      <c r="Y189" s="54">
        <v>0.6</v>
      </c>
      <c r="Z189" s="47">
        <f>IF(Y189&gt;0,(Y189*$A$3),"")</f>
        <v>0.27215519999999999</v>
      </c>
      <c r="AA189" s="1">
        <v>0.34</v>
      </c>
      <c r="AB189" s="47">
        <f>IF(AA189&gt;0,(AA189*$A$3),"")</f>
        <v>0.15422128000000002</v>
      </c>
      <c r="AC189" s="1">
        <v>7.2</v>
      </c>
      <c r="AD189" s="1">
        <v>0.26</v>
      </c>
      <c r="AE189" s="6">
        <v>0.16</v>
      </c>
    </row>
    <row r="190" spans="1:31">
      <c r="A190" s="3"/>
      <c r="C190" s="47" t="str">
        <f>IF(B190&gt;0,(B190*$A$3),"")</f>
        <v/>
      </c>
      <c r="D190" s="15">
        <v>1700</v>
      </c>
      <c r="E190" s="47">
        <f>IF(D190&gt;0,(D190*$A$3),"")</f>
        <v>771.10640000000001</v>
      </c>
      <c r="F190" s="15"/>
      <c r="G190" s="15"/>
      <c r="H190" s="1">
        <v>2</v>
      </c>
      <c r="I190" s="47">
        <f>IF(H190&gt;0,(H190*$A$3),"")</f>
        <v>0.90718399999999999</v>
      </c>
      <c r="J190" s="32">
        <v>20.52</v>
      </c>
      <c r="K190" s="25">
        <v>13.2</v>
      </c>
      <c r="L190" s="25">
        <v>4.0999999999999996</v>
      </c>
      <c r="M190" s="25">
        <v>2.39</v>
      </c>
      <c r="N190" s="25">
        <v>8.5999999999999993E-2</v>
      </c>
      <c r="O190" s="33">
        <v>5.2999999999999999E-2</v>
      </c>
      <c r="P190" s="51">
        <f>J190*$A$3</f>
        <v>9.3077078399999991</v>
      </c>
      <c r="Q190" s="51">
        <f t="shared" si="3"/>
        <v>13.2</v>
      </c>
      <c r="R190" s="51">
        <f>L190*$A$3</f>
        <v>1.8597271999999998</v>
      </c>
      <c r="S190" s="51">
        <f>M190*$A$3</f>
        <v>1.08408488</v>
      </c>
      <c r="T190" s="51">
        <f>N190*$A$3</f>
        <v>3.9008912E-2</v>
      </c>
      <c r="U190" s="51">
        <f>O190*$A$3</f>
        <v>2.4040375999999999E-2</v>
      </c>
      <c r="V190" s="32">
        <v>34.1</v>
      </c>
      <c r="W190" s="51">
        <f>V190*$A$3</f>
        <v>15.467487200000001</v>
      </c>
      <c r="X190" s="44">
        <v>60.1</v>
      </c>
      <c r="Y190" s="54">
        <v>0.6</v>
      </c>
      <c r="Z190" s="47">
        <f>IF(Y190&gt;0,(Y190*$A$3),"")</f>
        <v>0.27215519999999999</v>
      </c>
      <c r="AA190" s="1">
        <v>0.34</v>
      </c>
      <c r="AB190" s="47">
        <f>IF(AA190&gt;0,(AA190*$A$3),"")</f>
        <v>0.15422128000000002</v>
      </c>
      <c r="AC190" s="1">
        <v>7</v>
      </c>
      <c r="AD190" s="1">
        <v>0.25</v>
      </c>
      <c r="AE190" s="6">
        <v>0.16</v>
      </c>
    </row>
    <row r="191" spans="1:31">
      <c r="A191" s="3"/>
      <c r="C191" s="47" t="str">
        <f>IF(B191&gt;0,(B191*$A$3),"")</f>
        <v/>
      </c>
      <c r="D191" s="15">
        <v>1800</v>
      </c>
      <c r="E191" s="47">
        <f>IF(D191&gt;0,(D191*$A$3),"")</f>
        <v>816.46559999999999</v>
      </c>
      <c r="F191" s="15"/>
      <c r="G191" s="15"/>
      <c r="H191" s="1">
        <v>2</v>
      </c>
      <c r="I191" s="47">
        <f>IF(H191&gt;0,(H191*$A$3),"")</f>
        <v>0.90718399999999999</v>
      </c>
      <c r="J191" s="32">
        <v>21.43</v>
      </c>
      <c r="K191" s="25">
        <v>13.8</v>
      </c>
      <c r="L191" s="25">
        <v>4.3</v>
      </c>
      <c r="M191" s="25">
        <v>2.44</v>
      </c>
      <c r="N191" s="25">
        <v>8.7999999999999995E-2</v>
      </c>
      <c r="O191" s="33">
        <v>5.5E-2</v>
      </c>
      <c r="P191" s="51">
        <f>J191*$A$3</f>
        <v>9.7204765599999998</v>
      </c>
      <c r="Q191" s="51">
        <f t="shared" si="3"/>
        <v>13.8</v>
      </c>
      <c r="R191" s="51">
        <f>L191*$A$3</f>
        <v>1.9504455999999999</v>
      </c>
      <c r="S191" s="51">
        <f>M191*$A$3</f>
        <v>1.1067644800000001</v>
      </c>
      <c r="T191" s="51">
        <f>N191*$A$3</f>
        <v>3.9916095999999998E-2</v>
      </c>
      <c r="U191" s="51">
        <f>O191*$A$3</f>
        <v>2.4947560000000001E-2</v>
      </c>
      <c r="V191" s="32">
        <v>35.6</v>
      </c>
      <c r="W191" s="51">
        <f>V191*$A$3</f>
        <v>16.147875200000001</v>
      </c>
      <c r="X191" s="44">
        <v>60.1</v>
      </c>
      <c r="Y191" s="54">
        <v>0.6</v>
      </c>
      <c r="Z191" s="47">
        <f>IF(Y191&gt;0,(Y191*$A$3),"")</f>
        <v>0.27215519999999999</v>
      </c>
      <c r="AA191" s="1">
        <v>0.34</v>
      </c>
      <c r="AB191" s="47">
        <f>IF(AA191&gt;0,(AA191*$A$3),"")</f>
        <v>0.15422128000000002</v>
      </c>
      <c r="AC191" s="1">
        <v>6.9</v>
      </c>
      <c r="AD191" s="1">
        <v>0.25</v>
      </c>
      <c r="AE191" s="6">
        <v>0.15</v>
      </c>
    </row>
    <row r="192" spans="1:31">
      <c r="A192" s="3"/>
      <c r="C192" s="47" t="str">
        <f>IF(B192&gt;0,(B192*$A$3),"")</f>
        <v/>
      </c>
      <c r="D192" s="1">
        <v>900</v>
      </c>
      <c r="E192" s="47">
        <f>IF(D192&gt;0,(D192*$A$3),"")</f>
        <v>408.2328</v>
      </c>
      <c r="H192" s="1">
        <v>2.5</v>
      </c>
      <c r="I192" s="47">
        <f>IF(H192&gt;0,(H192*$A$3),"")</f>
        <v>1.13398</v>
      </c>
      <c r="J192" s="32">
        <v>13.41</v>
      </c>
      <c r="K192" s="25">
        <v>8.1999999999999993</v>
      </c>
      <c r="L192" s="25">
        <v>3.2</v>
      </c>
      <c r="M192" s="25">
        <v>2.17</v>
      </c>
      <c r="N192" s="25">
        <v>8.8999999999999996E-2</v>
      </c>
      <c r="O192" s="33">
        <v>4.4999999999999998E-2</v>
      </c>
      <c r="P192" s="51">
        <f>J192*$A$3</f>
        <v>6.08266872</v>
      </c>
      <c r="Q192" s="51">
        <f t="shared" si="3"/>
        <v>8.1999999999999993</v>
      </c>
      <c r="R192" s="51">
        <f>L192*$A$3</f>
        <v>1.4514944000000001</v>
      </c>
      <c r="S192" s="51">
        <f>M192*$A$3</f>
        <v>0.98429464</v>
      </c>
      <c r="T192" s="51">
        <f>N192*$A$3</f>
        <v>4.0369688000000001E-2</v>
      </c>
      <c r="U192" s="51">
        <f>O192*$A$3</f>
        <v>2.0411639999999998E-2</v>
      </c>
      <c r="V192" s="32">
        <v>21.2</v>
      </c>
      <c r="W192" s="51">
        <f>V192*$A$3</f>
        <v>9.6161504000000004</v>
      </c>
      <c r="X192" s="44">
        <v>63.3</v>
      </c>
      <c r="Y192" s="54">
        <v>0.64</v>
      </c>
      <c r="Z192" s="47">
        <f>IF(Y192&gt;0,(Y192*$A$3),"")</f>
        <v>0.29029887999999998</v>
      </c>
      <c r="AA192" s="1">
        <v>0.38</v>
      </c>
      <c r="AB192" s="47">
        <f>IF(AA192&gt;0,(AA192*$A$3),"")</f>
        <v>0.17236496000000001</v>
      </c>
      <c r="AC192" s="1">
        <v>10.199999999999999</v>
      </c>
      <c r="AD192" s="1">
        <v>0.42</v>
      </c>
      <c r="AE192" s="6">
        <v>0.21</v>
      </c>
    </row>
    <row r="193" spans="1:31">
      <c r="A193" s="3"/>
      <c r="C193" s="47" t="str">
        <f>IF(B193&gt;0,(B193*$A$3),"")</f>
        <v/>
      </c>
      <c r="D193" s="15">
        <v>1000</v>
      </c>
      <c r="E193" s="47">
        <f>IF(D193&gt;0,(D193*$A$3),"")</f>
        <v>453.59199999999998</v>
      </c>
      <c r="F193" s="15"/>
      <c r="G193" s="15"/>
      <c r="H193" s="1">
        <v>2.5</v>
      </c>
      <c r="I193" s="47">
        <f>IF(H193&gt;0,(H193*$A$3),"")</f>
        <v>1.13398</v>
      </c>
      <c r="J193" s="32">
        <v>14.52</v>
      </c>
      <c r="K193" s="25">
        <v>8.9</v>
      </c>
      <c r="L193" s="25">
        <v>3.5</v>
      </c>
      <c r="M193" s="25">
        <v>2.21</v>
      </c>
      <c r="N193" s="25">
        <v>8.8999999999999996E-2</v>
      </c>
      <c r="O193" s="33">
        <v>4.7E-2</v>
      </c>
      <c r="P193" s="51">
        <f>J193*$A$3</f>
        <v>6.58615584</v>
      </c>
      <c r="Q193" s="51">
        <f t="shared" si="3"/>
        <v>8.9</v>
      </c>
      <c r="R193" s="51">
        <f>L193*$A$3</f>
        <v>1.587572</v>
      </c>
      <c r="S193" s="51">
        <f>M193*$A$3</f>
        <v>1.00243832</v>
      </c>
      <c r="T193" s="51">
        <f>N193*$A$3</f>
        <v>4.0369688000000001E-2</v>
      </c>
      <c r="U193" s="51">
        <f>O193*$A$3</f>
        <v>2.1318824E-2</v>
      </c>
      <c r="V193" s="32">
        <v>22.9</v>
      </c>
      <c r="W193" s="51">
        <f>V193*$A$3</f>
        <v>10.387256799999999</v>
      </c>
      <c r="X193" s="44">
        <v>63.3</v>
      </c>
      <c r="Y193" s="54">
        <v>0.65</v>
      </c>
      <c r="Z193" s="47">
        <f>IF(Y193&gt;0,(Y193*$A$3),"")</f>
        <v>0.29483480000000001</v>
      </c>
      <c r="AA193" s="1">
        <v>0.38</v>
      </c>
      <c r="AB193" s="47">
        <f>IF(AA193&gt;0,(AA193*$A$3),"")</f>
        <v>0.17236496000000001</v>
      </c>
      <c r="AC193" s="1">
        <v>9.6999999999999993</v>
      </c>
      <c r="AD193" s="1">
        <v>0.39</v>
      </c>
      <c r="AE193" s="6">
        <v>0.2</v>
      </c>
    </row>
    <row r="194" spans="1:31">
      <c r="A194" s="3"/>
      <c r="C194" s="47" t="str">
        <f>IF(B194&gt;0,(B194*$A$3),"")</f>
        <v/>
      </c>
      <c r="D194" s="15">
        <v>1100</v>
      </c>
      <c r="E194" s="47">
        <f>IF(D194&gt;0,(D194*$A$3),"")</f>
        <v>498.95119999999997</v>
      </c>
      <c r="F194" s="15"/>
      <c r="G194" s="15"/>
      <c r="H194" s="1">
        <v>2.5</v>
      </c>
      <c r="I194" s="47">
        <f>IF(H194&gt;0,(H194*$A$3),"")</f>
        <v>1.13398</v>
      </c>
      <c r="J194" s="32">
        <v>15.56</v>
      </c>
      <c r="K194" s="25">
        <v>9.5</v>
      </c>
      <c r="L194" s="25">
        <v>3.7</v>
      </c>
      <c r="M194" s="25">
        <v>2.2599999999999998</v>
      </c>
      <c r="N194" s="25">
        <v>0.09</v>
      </c>
      <c r="O194" s="33">
        <v>4.8000000000000001E-2</v>
      </c>
      <c r="P194" s="51">
        <f>J194*$A$3</f>
        <v>7.0578915200000001</v>
      </c>
      <c r="Q194" s="51">
        <f t="shared" si="3"/>
        <v>9.5</v>
      </c>
      <c r="R194" s="51">
        <f>L194*$A$3</f>
        <v>1.6782904000000001</v>
      </c>
      <c r="S194" s="51">
        <f>M194*$A$3</f>
        <v>1.0251179199999998</v>
      </c>
      <c r="T194" s="51">
        <f>N194*$A$3</f>
        <v>4.0823279999999997E-2</v>
      </c>
      <c r="U194" s="51">
        <f>O194*$A$3</f>
        <v>2.1772415999999999E-2</v>
      </c>
      <c r="V194" s="32">
        <v>24.6</v>
      </c>
      <c r="W194" s="51">
        <f>V194*$A$3</f>
        <v>11.1583632</v>
      </c>
      <c r="X194" s="44">
        <v>63.2</v>
      </c>
      <c r="Y194" s="54">
        <v>0.64</v>
      </c>
      <c r="Z194" s="47">
        <f>IF(Y194&gt;0,(Y194*$A$3),"")</f>
        <v>0.29029887999999998</v>
      </c>
      <c r="AA194" s="1">
        <v>0.38</v>
      </c>
      <c r="AB194" s="47">
        <f>IF(AA194&gt;0,(AA194*$A$3),"")</f>
        <v>0.17236496000000001</v>
      </c>
      <c r="AC194" s="1">
        <v>9.1999999999999993</v>
      </c>
      <c r="AD194" s="1">
        <v>0.36</v>
      </c>
      <c r="AE194" s="6">
        <v>0.19</v>
      </c>
    </row>
    <row r="195" spans="1:31">
      <c r="A195" s="3"/>
      <c r="C195" s="47" t="str">
        <f>IF(B195&gt;0,(B195*$A$3),"")</f>
        <v/>
      </c>
      <c r="D195" s="15">
        <v>1200</v>
      </c>
      <c r="E195" s="47">
        <f>IF(D195&gt;0,(D195*$A$3),"")</f>
        <v>544.31039999999996</v>
      </c>
      <c r="F195" s="15"/>
      <c r="G195" s="15"/>
      <c r="H195" s="1">
        <v>2.5</v>
      </c>
      <c r="I195" s="47">
        <f>IF(H195&gt;0,(H195*$A$3),"")</f>
        <v>1.13398</v>
      </c>
      <c r="J195" s="32">
        <v>16.649999999999999</v>
      </c>
      <c r="K195" s="25">
        <v>10.199999999999999</v>
      </c>
      <c r="L195" s="25">
        <v>4</v>
      </c>
      <c r="M195" s="25">
        <v>2.31</v>
      </c>
      <c r="N195" s="25">
        <v>0.09</v>
      </c>
      <c r="O195" s="33">
        <v>4.9000000000000002E-2</v>
      </c>
      <c r="P195" s="51">
        <f>J195*$A$3</f>
        <v>7.5523067999999993</v>
      </c>
      <c r="Q195" s="51">
        <f t="shared" si="3"/>
        <v>10.199999999999999</v>
      </c>
      <c r="R195" s="51">
        <f>L195*$A$3</f>
        <v>1.814368</v>
      </c>
      <c r="S195" s="51">
        <f>M195*$A$3</f>
        <v>1.04779752</v>
      </c>
      <c r="T195" s="51">
        <f>N195*$A$3</f>
        <v>4.0823279999999997E-2</v>
      </c>
      <c r="U195" s="51">
        <f>O195*$A$3</f>
        <v>2.2226008000000002E-2</v>
      </c>
      <c r="V195" s="32">
        <v>26.3</v>
      </c>
      <c r="W195" s="51">
        <f>V195*$A$3</f>
        <v>11.929469600000001</v>
      </c>
      <c r="X195" s="44">
        <v>63.3</v>
      </c>
      <c r="Y195" s="54">
        <v>0.65</v>
      </c>
      <c r="Z195" s="47">
        <f>IF(Y195&gt;0,(Y195*$A$3),"")</f>
        <v>0.29483480000000001</v>
      </c>
      <c r="AA195" s="1">
        <v>0.38</v>
      </c>
      <c r="AB195" s="47">
        <f>IF(AA195&gt;0,(AA195*$A$3),"")</f>
        <v>0.17236496000000001</v>
      </c>
      <c r="AC195" s="1">
        <v>8.8000000000000007</v>
      </c>
      <c r="AD195" s="1">
        <v>0.34</v>
      </c>
      <c r="AE195" s="6">
        <v>0.19</v>
      </c>
    </row>
    <row r="196" spans="1:31">
      <c r="A196" s="3"/>
      <c r="C196" s="47" t="str">
        <f>IF(B196&gt;0,(B196*$A$3),"")</f>
        <v/>
      </c>
      <c r="D196" s="15">
        <v>1300</v>
      </c>
      <c r="E196" s="47">
        <f>IF(D196&gt;0,(D196*$A$3),"")</f>
        <v>589.66959999999995</v>
      </c>
      <c r="F196" s="15"/>
      <c r="G196" s="15"/>
      <c r="H196" s="1">
        <v>2.5</v>
      </c>
      <c r="I196" s="47">
        <f>IF(H196&gt;0,(H196*$A$3),"")</f>
        <v>1.13398</v>
      </c>
      <c r="J196" s="32">
        <v>17.66</v>
      </c>
      <c r="K196" s="25">
        <v>10.8</v>
      </c>
      <c r="L196" s="25">
        <v>4.2</v>
      </c>
      <c r="M196" s="25">
        <v>2.35</v>
      </c>
      <c r="N196" s="25">
        <v>9.0999999999999998E-2</v>
      </c>
      <c r="O196" s="33">
        <v>5.0999999999999997E-2</v>
      </c>
      <c r="P196" s="51">
        <f>J196*$A$3</f>
        <v>8.0104347199999992</v>
      </c>
      <c r="Q196" s="51">
        <f t="shared" si="3"/>
        <v>10.8</v>
      </c>
      <c r="R196" s="51">
        <f>L196*$A$3</f>
        <v>1.9050864000000001</v>
      </c>
      <c r="S196" s="51">
        <f>M196*$A$3</f>
        <v>1.0659411999999999</v>
      </c>
      <c r="T196" s="51">
        <f>N196*$A$3</f>
        <v>4.1276871999999999E-2</v>
      </c>
      <c r="U196" s="51">
        <f>O196*$A$3</f>
        <v>2.3133191999999997E-2</v>
      </c>
      <c r="V196" s="32">
        <v>27.9</v>
      </c>
      <c r="W196" s="51">
        <f>V196*$A$3</f>
        <v>12.6552168</v>
      </c>
      <c r="X196" s="44">
        <v>63.3</v>
      </c>
      <c r="Y196" s="54">
        <v>0.64</v>
      </c>
      <c r="Z196" s="47">
        <f>IF(Y196&gt;0,(Y196*$A$3),"")</f>
        <v>0.29029887999999998</v>
      </c>
      <c r="AA196" s="1">
        <v>0.38</v>
      </c>
      <c r="AB196" s="47">
        <f>IF(AA196&gt;0,(AA196*$A$3),"")</f>
        <v>0.17236496000000001</v>
      </c>
      <c r="AC196" s="1">
        <v>8.4</v>
      </c>
      <c r="AD196" s="1">
        <v>0.33</v>
      </c>
      <c r="AE196" s="6">
        <v>0.18</v>
      </c>
    </row>
    <row r="197" spans="1:31">
      <c r="A197" s="3"/>
      <c r="C197" s="47" t="str">
        <f>IF(B197&gt;0,(B197*$A$3),"")</f>
        <v/>
      </c>
      <c r="D197" s="15">
        <v>1400</v>
      </c>
      <c r="E197" s="47">
        <f>IF(D197&gt;0,(D197*$A$3),"")</f>
        <v>635.02880000000005</v>
      </c>
      <c r="F197" s="15"/>
      <c r="G197" s="15"/>
      <c r="H197" s="1">
        <v>2.5</v>
      </c>
      <c r="I197" s="47">
        <f>IF(H197&gt;0,(H197*$A$3),"")</f>
        <v>1.13398</v>
      </c>
      <c r="J197" s="32">
        <v>18.66</v>
      </c>
      <c r="K197" s="25">
        <v>11.4</v>
      </c>
      <c r="L197" s="25">
        <v>4.4000000000000004</v>
      </c>
      <c r="M197" s="25">
        <v>2.4</v>
      </c>
      <c r="N197" s="25">
        <v>9.1999999999999998E-2</v>
      </c>
      <c r="O197" s="33">
        <v>5.1999999999999998E-2</v>
      </c>
      <c r="P197" s="51">
        <f>J197*$A$3</f>
        <v>8.4640267199999997</v>
      </c>
      <c r="Q197" s="51">
        <f t="shared" si="3"/>
        <v>11.4</v>
      </c>
      <c r="R197" s="51">
        <f>L197*$A$3</f>
        <v>1.9958048000000002</v>
      </c>
      <c r="S197" s="51">
        <f>M197*$A$3</f>
        <v>1.0886207999999999</v>
      </c>
      <c r="T197" s="51">
        <f>N197*$A$3</f>
        <v>4.1730464000000002E-2</v>
      </c>
      <c r="U197" s="51">
        <f>O197*$A$3</f>
        <v>2.3586784E-2</v>
      </c>
      <c r="V197" s="32">
        <v>29.5</v>
      </c>
      <c r="W197" s="51">
        <f>V197*$A$3</f>
        <v>13.380964000000001</v>
      </c>
      <c r="X197" s="44">
        <v>63.2</v>
      </c>
      <c r="Y197" s="54">
        <v>0.64</v>
      </c>
      <c r="Z197" s="47">
        <f>IF(Y197&gt;0,(Y197*$A$3),"")</f>
        <v>0.29029887999999998</v>
      </c>
      <c r="AA197" s="1">
        <v>0.38</v>
      </c>
      <c r="AB197" s="47">
        <f>IF(AA197&gt;0,(AA197*$A$3),"")</f>
        <v>0.17236496000000001</v>
      </c>
      <c r="AC197" s="1">
        <v>8.1</v>
      </c>
      <c r="AD197" s="1">
        <v>0.31</v>
      </c>
      <c r="AE197" s="6">
        <v>0.18</v>
      </c>
    </row>
    <row r="198" spans="1:31">
      <c r="A198" s="3"/>
      <c r="C198" s="47" t="str">
        <f>IF(B198&gt;0,(B198*$A$3),"")</f>
        <v/>
      </c>
      <c r="D198" s="15">
        <v>1500</v>
      </c>
      <c r="E198" s="47">
        <f>IF(D198&gt;0,(D198*$A$3),"")</f>
        <v>680.38800000000003</v>
      </c>
      <c r="F198" s="15"/>
      <c r="G198" s="15"/>
      <c r="H198" s="1">
        <v>2.5</v>
      </c>
      <c r="I198" s="47">
        <f>IF(H198&gt;0,(H198*$A$3),"")</f>
        <v>1.13398</v>
      </c>
      <c r="J198" s="32">
        <v>19.64</v>
      </c>
      <c r="K198" s="25">
        <v>12</v>
      </c>
      <c r="L198" s="25">
        <v>4.7</v>
      </c>
      <c r="M198" s="25">
        <v>2.44</v>
      </c>
      <c r="N198" s="25">
        <v>9.2999999999999999E-2</v>
      </c>
      <c r="O198" s="33">
        <v>5.2999999999999999E-2</v>
      </c>
      <c r="P198" s="51">
        <f>J198*$A$3</f>
        <v>8.9085468799999994</v>
      </c>
      <c r="Q198" s="51">
        <f t="shared" si="3"/>
        <v>12</v>
      </c>
      <c r="R198" s="51">
        <f>L198*$A$3</f>
        <v>2.1318823999999998</v>
      </c>
      <c r="S198" s="51">
        <f>M198*$A$3</f>
        <v>1.1067644800000001</v>
      </c>
      <c r="T198" s="51">
        <f>N198*$A$3</f>
        <v>4.2184055999999998E-2</v>
      </c>
      <c r="U198" s="51">
        <f>O198*$A$3</f>
        <v>2.4040375999999999E-2</v>
      </c>
      <c r="V198" s="32">
        <v>31.1</v>
      </c>
      <c r="W198" s="51">
        <f>V198*$A$3</f>
        <v>14.106711200000001</v>
      </c>
      <c r="X198" s="44">
        <v>63.2</v>
      </c>
      <c r="Y198" s="54">
        <v>0.64</v>
      </c>
      <c r="Z198" s="47">
        <f>IF(Y198&gt;0,(Y198*$A$3),"")</f>
        <v>0.29029887999999998</v>
      </c>
      <c r="AA198" s="1">
        <v>0.38</v>
      </c>
      <c r="AB198" s="47">
        <f>IF(AA198&gt;0,(AA198*$A$3),"")</f>
        <v>0.17236496000000001</v>
      </c>
      <c r="AC198" s="1">
        <v>7.9</v>
      </c>
      <c r="AD198" s="1">
        <v>0.3</v>
      </c>
      <c r="AE198" s="6">
        <v>0.17</v>
      </c>
    </row>
    <row r="199" spans="1:31">
      <c r="A199" s="3"/>
      <c r="C199" s="47" t="str">
        <f>IF(B199&gt;0,(B199*$A$3),"")</f>
        <v/>
      </c>
      <c r="D199" s="15">
        <v>1600</v>
      </c>
      <c r="E199" s="47">
        <f>IF(D199&gt;0,(D199*$A$3),"")</f>
        <v>725.74720000000002</v>
      </c>
      <c r="F199" s="15"/>
      <c r="G199" s="15"/>
      <c r="H199" s="1">
        <v>2.5</v>
      </c>
      <c r="I199" s="47">
        <f>IF(H199&gt;0,(H199*$A$3),"")</f>
        <v>1.13398</v>
      </c>
      <c r="J199" s="32">
        <v>20.63</v>
      </c>
      <c r="K199" s="25">
        <v>12.6</v>
      </c>
      <c r="L199" s="25">
        <v>4.9000000000000004</v>
      </c>
      <c r="M199" s="25">
        <v>2.4900000000000002</v>
      </c>
      <c r="N199" s="25">
        <v>9.2999999999999999E-2</v>
      </c>
      <c r="O199" s="33">
        <v>5.5E-2</v>
      </c>
      <c r="P199" s="51">
        <f>J199*$A$3</f>
        <v>9.3576029599999995</v>
      </c>
      <c r="Q199" s="51">
        <f t="shared" si="3"/>
        <v>12.6</v>
      </c>
      <c r="R199" s="51">
        <f>L199*$A$3</f>
        <v>2.2226007999999999</v>
      </c>
      <c r="S199" s="51">
        <f>M199*$A$3</f>
        <v>1.1294440800000001</v>
      </c>
      <c r="T199" s="51">
        <f>N199*$A$3</f>
        <v>4.2184055999999998E-2</v>
      </c>
      <c r="U199" s="51">
        <f>O199*$A$3</f>
        <v>2.4947560000000001E-2</v>
      </c>
      <c r="V199" s="32">
        <v>32.6</v>
      </c>
      <c r="W199" s="51">
        <f>V199*$A$3</f>
        <v>14.7870992</v>
      </c>
      <c r="X199" s="44">
        <v>63.2</v>
      </c>
      <c r="Y199" s="54">
        <v>0.64</v>
      </c>
      <c r="Z199" s="47">
        <f>IF(Y199&gt;0,(Y199*$A$3),"")</f>
        <v>0.29029887999999998</v>
      </c>
      <c r="AA199" s="1">
        <v>0.38</v>
      </c>
      <c r="AB199" s="47">
        <f>IF(AA199&gt;0,(AA199*$A$3),"")</f>
        <v>0.17236496000000001</v>
      </c>
      <c r="AC199" s="1">
        <v>7.6</v>
      </c>
      <c r="AD199" s="1">
        <v>0.28999999999999998</v>
      </c>
      <c r="AE199" s="6">
        <v>0.17</v>
      </c>
    </row>
    <row r="200" spans="1:31">
      <c r="A200" s="3"/>
      <c r="C200" s="47" t="str">
        <f>IF(B200&gt;0,(B200*$A$3),"")</f>
        <v/>
      </c>
      <c r="D200" s="15">
        <v>1700</v>
      </c>
      <c r="E200" s="47">
        <f>IF(D200&gt;0,(D200*$A$3),"")</f>
        <v>771.10640000000001</v>
      </c>
      <c r="F200" s="15"/>
      <c r="G200" s="15"/>
      <c r="H200" s="1">
        <v>2.5</v>
      </c>
      <c r="I200" s="47">
        <f>IF(H200&gt;0,(H200*$A$3),"")</f>
        <v>1.13398</v>
      </c>
      <c r="J200" s="32">
        <v>21.59</v>
      </c>
      <c r="K200" s="25">
        <v>13.2</v>
      </c>
      <c r="L200" s="25">
        <v>5.0999999999999996</v>
      </c>
      <c r="M200" s="25">
        <v>2.5299999999999998</v>
      </c>
      <c r="N200" s="25">
        <v>9.4E-2</v>
      </c>
      <c r="O200" s="33">
        <v>5.6000000000000001E-2</v>
      </c>
      <c r="P200" s="51">
        <f>J200*$A$3</f>
        <v>9.7930512800000002</v>
      </c>
      <c r="Q200" s="51">
        <f t="shared" si="3"/>
        <v>13.2</v>
      </c>
      <c r="R200" s="51">
        <f>L200*$A$3</f>
        <v>2.3133192</v>
      </c>
      <c r="S200" s="51">
        <f>M200*$A$3</f>
        <v>1.14758776</v>
      </c>
      <c r="T200" s="51">
        <f>N200*$A$3</f>
        <v>4.2637648E-2</v>
      </c>
      <c r="U200" s="51">
        <f>O200*$A$3</f>
        <v>2.5401152E-2</v>
      </c>
      <c r="V200" s="32">
        <v>34.1</v>
      </c>
      <c r="W200" s="51">
        <f>V200*$A$3</f>
        <v>15.467487200000001</v>
      </c>
      <c r="X200" s="44">
        <v>63.2</v>
      </c>
      <c r="Y200" s="54">
        <v>0.64</v>
      </c>
      <c r="Z200" s="47">
        <f>IF(Y200&gt;0,(Y200*$A$3),"")</f>
        <v>0.29029887999999998</v>
      </c>
      <c r="AA200" s="1">
        <v>0.38</v>
      </c>
      <c r="AB200" s="47">
        <f>IF(AA200&gt;0,(AA200*$A$3),"")</f>
        <v>0.17236496000000001</v>
      </c>
      <c r="AC200" s="1">
        <v>7.4</v>
      </c>
      <c r="AD200" s="1">
        <v>0.28000000000000003</v>
      </c>
      <c r="AE200" s="6">
        <v>0.16</v>
      </c>
    </row>
    <row r="201" spans="1:31">
      <c r="A201" s="3"/>
      <c r="C201" s="47" t="str">
        <f>IF(B201&gt;0,(B201*$A$3),"")</f>
        <v/>
      </c>
      <c r="D201" s="15">
        <v>1800</v>
      </c>
      <c r="E201" s="47">
        <f>IF(D201&gt;0,(D201*$A$3),"")</f>
        <v>816.46559999999999</v>
      </c>
      <c r="F201" s="15"/>
      <c r="G201" s="15"/>
      <c r="H201" s="1">
        <v>2.5</v>
      </c>
      <c r="I201" s="47">
        <f>IF(H201&gt;0,(H201*$A$3),"")</f>
        <v>1.13398</v>
      </c>
      <c r="J201" s="32">
        <v>22.55</v>
      </c>
      <c r="K201" s="25">
        <v>13.8</v>
      </c>
      <c r="L201" s="25">
        <v>5.3</v>
      </c>
      <c r="M201" s="25">
        <v>2.57</v>
      </c>
      <c r="N201" s="25">
        <v>9.5000000000000001E-2</v>
      </c>
      <c r="O201" s="33">
        <v>5.8000000000000003E-2</v>
      </c>
      <c r="P201" s="51">
        <f>J201*$A$3</f>
        <v>10.228499600000001</v>
      </c>
      <c r="Q201" s="51">
        <f t="shared" si="3"/>
        <v>13.8</v>
      </c>
      <c r="R201" s="51">
        <f>L201*$A$3</f>
        <v>2.4040376000000001</v>
      </c>
      <c r="S201" s="51">
        <f>M201*$A$3</f>
        <v>1.1657314399999998</v>
      </c>
      <c r="T201" s="51">
        <f>N201*$A$3</f>
        <v>4.3091240000000003E-2</v>
      </c>
      <c r="U201" s="51">
        <f>O201*$A$3</f>
        <v>2.6308336000000002E-2</v>
      </c>
      <c r="V201" s="32">
        <v>35.6</v>
      </c>
      <c r="W201" s="51">
        <f>V201*$A$3</f>
        <v>16.147875200000001</v>
      </c>
      <c r="X201" s="44">
        <v>63.3</v>
      </c>
      <c r="Y201" s="54">
        <v>0.64</v>
      </c>
      <c r="Z201" s="47">
        <f>IF(Y201&gt;0,(Y201*$A$3),"")</f>
        <v>0.29029887999999998</v>
      </c>
      <c r="AA201" s="1">
        <v>0.38</v>
      </c>
      <c r="AB201" s="47">
        <f>IF(AA201&gt;0,(AA201*$A$3),"")</f>
        <v>0.17236496000000001</v>
      </c>
      <c r="AC201" s="1">
        <v>7.2</v>
      </c>
      <c r="AD201" s="1">
        <v>0.27</v>
      </c>
      <c r="AE201" s="6">
        <v>0.16</v>
      </c>
    </row>
    <row r="202" spans="1:31">
      <c r="A202" s="3"/>
      <c r="C202" s="47" t="str">
        <f>IF(B202&gt;0,(B202*$A$3),"")</f>
        <v/>
      </c>
      <c r="D202" s="1">
        <v>900</v>
      </c>
      <c r="E202" s="47">
        <f>IF(D202&gt;0,(D202*$A$3),"")</f>
        <v>408.2328</v>
      </c>
      <c r="H202" s="1">
        <v>3</v>
      </c>
      <c r="I202" s="47">
        <f>IF(H202&gt;0,(H202*$A$3),"")</f>
        <v>1.360776</v>
      </c>
      <c r="J202" s="32">
        <v>14.04</v>
      </c>
      <c r="K202" s="25">
        <v>8.1999999999999993</v>
      </c>
      <c r="L202" s="25">
        <v>3.9</v>
      </c>
      <c r="M202" s="25">
        <v>2.37</v>
      </c>
      <c r="N202" s="25">
        <v>0.1</v>
      </c>
      <c r="O202" s="33">
        <v>0.05</v>
      </c>
      <c r="P202" s="51">
        <f>J202*$A$3</f>
        <v>6.3684316799999996</v>
      </c>
      <c r="Q202" s="51">
        <f t="shared" si="3"/>
        <v>8.1999999999999993</v>
      </c>
      <c r="R202" s="51">
        <f>L202*$A$3</f>
        <v>1.7690087999999999</v>
      </c>
      <c r="S202" s="51">
        <f>M202*$A$3</f>
        <v>1.07501304</v>
      </c>
      <c r="T202" s="51">
        <f>N202*$A$3</f>
        <v>4.5359200000000002E-2</v>
      </c>
      <c r="U202" s="51">
        <f>O202*$A$3</f>
        <v>2.2679600000000001E-2</v>
      </c>
      <c r="V202" s="32">
        <v>21.1</v>
      </c>
      <c r="W202" s="51">
        <f>V202*$A$3</f>
        <v>9.5707912000000004</v>
      </c>
      <c r="X202" s="44">
        <v>66.599999999999994</v>
      </c>
      <c r="Y202" s="54">
        <v>0.69</v>
      </c>
      <c r="Z202" s="47">
        <f>IF(Y202&gt;0,(Y202*$A$3),"")</f>
        <v>0.31297847999999995</v>
      </c>
      <c r="AA202" s="1">
        <v>0.42</v>
      </c>
      <c r="AB202" s="47">
        <f>IF(AA202&gt;0,(AA202*$A$3),"")</f>
        <v>0.19050863999999998</v>
      </c>
      <c r="AC202" s="1">
        <v>11.2</v>
      </c>
      <c r="AD202" s="1">
        <v>0.48</v>
      </c>
      <c r="AE202" s="6">
        <v>0.24</v>
      </c>
    </row>
    <row r="203" spans="1:31">
      <c r="A203" s="3"/>
      <c r="C203" s="47" t="str">
        <f>IF(B203&gt;0,(B203*$A$3),"")</f>
        <v/>
      </c>
      <c r="D203" s="15">
        <v>1000</v>
      </c>
      <c r="E203" s="47">
        <f>IF(D203&gt;0,(D203*$A$3),"")</f>
        <v>453.59199999999998</v>
      </c>
      <c r="F203" s="15"/>
      <c r="G203" s="15"/>
      <c r="H203" s="1">
        <v>3</v>
      </c>
      <c r="I203" s="47">
        <f>IF(H203&gt;0,(H203*$A$3),"")</f>
        <v>1.360776</v>
      </c>
      <c r="J203" s="32">
        <v>15.2</v>
      </c>
      <c r="K203" s="25">
        <v>8.9</v>
      </c>
      <c r="L203" s="25">
        <v>4.2</v>
      </c>
      <c r="M203" s="25">
        <v>2.41</v>
      </c>
      <c r="N203" s="25">
        <v>0.1</v>
      </c>
      <c r="O203" s="33">
        <v>5.0999999999999997E-2</v>
      </c>
      <c r="P203" s="51">
        <f>J203*$A$3</f>
        <v>6.8945983999999996</v>
      </c>
      <c r="Q203" s="51">
        <f t="shared" si="3"/>
        <v>8.9</v>
      </c>
      <c r="R203" s="51">
        <f>L203*$A$3</f>
        <v>1.9050864000000001</v>
      </c>
      <c r="S203" s="51">
        <f>M203*$A$3</f>
        <v>1.0931567200000001</v>
      </c>
      <c r="T203" s="51">
        <f>N203*$A$3</f>
        <v>4.5359200000000002E-2</v>
      </c>
      <c r="U203" s="51">
        <f>O203*$A$3</f>
        <v>2.3133191999999997E-2</v>
      </c>
      <c r="V203" s="32">
        <v>22.8</v>
      </c>
      <c r="W203" s="51">
        <f>V203*$A$3</f>
        <v>10.341897599999999</v>
      </c>
      <c r="X203" s="44">
        <v>66.7</v>
      </c>
      <c r="Y203" s="54">
        <v>0.69</v>
      </c>
      <c r="Z203" s="47">
        <f>IF(Y203&gt;0,(Y203*$A$3),"")</f>
        <v>0.31297847999999995</v>
      </c>
      <c r="AA203" s="1">
        <v>0.42</v>
      </c>
      <c r="AB203" s="47">
        <f>IF(AA203&gt;0,(AA203*$A$3),"")</f>
        <v>0.19050863999999998</v>
      </c>
      <c r="AC203" s="1">
        <v>10.6</v>
      </c>
      <c r="AD203" s="1">
        <v>0.44</v>
      </c>
      <c r="AE203" s="6">
        <v>0.22</v>
      </c>
    </row>
    <row r="204" spans="1:31">
      <c r="A204" s="3"/>
      <c r="C204" s="47" t="str">
        <f>IF(B204&gt;0,(B204*$A$3),"")</f>
        <v/>
      </c>
      <c r="D204" s="15">
        <v>1100</v>
      </c>
      <c r="E204" s="47">
        <f>IF(D204&gt;0,(D204*$A$3),"")</f>
        <v>498.95119999999997</v>
      </c>
      <c r="F204" s="15"/>
      <c r="G204" s="15"/>
      <c r="H204" s="1">
        <v>3</v>
      </c>
      <c r="I204" s="47">
        <f>IF(H204&gt;0,(H204*$A$3),"")</f>
        <v>1.360776</v>
      </c>
      <c r="J204" s="32">
        <v>16.29</v>
      </c>
      <c r="K204" s="25">
        <v>9.5</v>
      </c>
      <c r="L204" s="25">
        <v>4.5</v>
      </c>
      <c r="M204" s="25">
        <v>2.4500000000000002</v>
      </c>
      <c r="N204" s="25">
        <v>0.1</v>
      </c>
      <c r="O204" s="33">
        <v>5.1999999999999998E-2</v>
      </c>
      <c r="P204" s="51">
        <f>J204*$A$3</f>
        <v>7.3890136799999997</v>
      </c>
      <c r="Q204" s="51">
        <f t="shared" si="3"/>
        <v>9.5</v>
      </c>
      <c r="R204" s="51">
        <f>L204*$A$3</f>
        <v>2.0411640000000002</v>
      </c>
      <c r="S204" s="51">
        <f>M204*$A$3</f>
        <v>1.1113004</v>
      </c>
      <c r="T204" s="51">
        <f>N204*$A$3</f>
        <v>4.5359200000000002E-2</v>
      </c>
      <c r="U204" s="51">
        <f>O204*$A$3</f>
        <v>2.3586784E-2</v>
      </c>
      <c r="V204" s="32">
        <v>24.5</v>
      </c>
      <c r="W204" s="51">
        <f>V204*$A$3</f>
        <v>11.113004</v>
      </c>
      <c r="X204" s="44">
        <v>66.5</v>
      </c>
      <c r="Y204" s="54">
        <v>0.69</v>
      </c>
      <c r="Z204" s="47">
        <f>IF(Y204&gt;0,(Y204*$A$3),"")</f>
        <v>0.31297847999999995</v>
      </c>
      <c r="AA204" s="1">
        <v>0.42</v>
      </c>
      <c r="AB204" s="47">
        <f>IF(AA204&gt;0,(AA204*$A$3),"")</f>
        <v>0.19050863999999998</v>
      </c>
      <c r="AC204" s="1">
        <v>10</v>
      </c>
      <c r="AD204" s="1">
        <v>0.41</v>
      </c>
      <c r="AE204" s="6">
        <v>0.21</v>
      </c>
    </row>
    <row r="205" spans="1:31">
      <c r="A205" s="3"/>
      <c r="C205" s="47" t="str">
        <f>IF(B205&gt;0,(B205*$A$3),"")</f>
        <v/>
      </c>
      <c r="D205" s="15">
        <v>1200</v>
      </c>
      <c r="E205" s="47">
        <f>IF(D205&gt;0,(D205*$A$3),"")</f>
        <v>544.31039999999996</v>
      </c>
      <c r="F205" s="15"/>
      <c r="G205" s="15"/>
      <c r="H205" s="1">
        <v>3</v>
      </c>
      <c r="I205" s="47">
        <f>IF(H205&gt;0,(H205*$A$3),"")</f>
        <v>1.360776</v>
      </c>
      <c r="J205" s="32">
        <v>17.43</v>
      </c>
      <c r="K205" s="25">
        <v>10.199999999999999</v>
      </c>
      <c r="L205" s="25">
        <v>4.8</v>
      </c>
      <c r="M205" s="25">
        <v>2.48</v>
      </c>
      <c r="N205" s="25">
        <v>0.1</v>
      </c>
      <c r="O205" s="33">
        <v>5.2999999999999999E-2</v>
      </c>
      <c r="P205" s="51">
        <f>J205*$A$3</f>
        <v>7.9061085599999998</v>
      </c>
      <c r="Q205" s="51">
        <f t="shared" si="3"/>
        <v>10.199999999999999</v>
      </c>
      <c r="R205" s="51">
        <f>L205*$A$3</f>
        <v>2.1772415999999999</v>
      </c>
      <c r="S205" s="51">
        <f>M205*$A$3</f>
        <v>1.1249081599999999</v>
      </c>
      <c r="T205" s="51">
        <f>N205*$A$3</f>
        <v>4.5359200000000002E-2</v>
      </c>
      <c r="U205" s="51">
        <f>O205*$A$3</f>
        <v>2.4040375999999999E-2</v>
      </c>
      <c r="V205" s="32">
        <v>26.1</v>
      </c>
      <c r="W205" s="51">
        <f>V205*$A$3</f>
        <v>11.838751200000001</v>
      </c>
      <c r="X205" s="44">
        <v>66.7</v>
      </c>
      <c r="Y205" s="54">
        <v>0.69</v>
      </c>
      <c r="Z205" s="47">
        <f>IF(Y205&gt;0,(Y205*$A$3),"")</f>
        <v>0.31297847999999995</v>
      </c>
      <c r="AA205" s="1">
        <v>0.42</v>
      </c>
      <c r="AB205" s="47">
        <f>IF(AA205&gt;0,(AA205*$A$3),"")</f>
        <v>0.19050863999999998</v>
      </c>
      <c r="AC205" s="1">
        <v>9.5</v>
      </c>
      <c r="AD205" s="1">
        <v>0.38</v>
      </c>
      <c r="AE205" s="6">
        <v>0.2</v>
      </c>
    </row>
    <row r="206" spans="1:31">
      <c r="A206" s="3"/>
      <c r="C206" s="47" t="str">
        <f>IF(B206&gt;0,(B206*$A$3),"")</f>
        <v/>
      </c>
      <c r="D206" s="15">
        <v>1300</v>
      </c>
      <c r="E206" s="47">
        <f>IF(D206&gt;0,(D206*$A$3),"")</f>
        <v>589.66959999999995</v>
      </c>
      <c r="F206" s="15"/>
      <c r="G206" s="15"/>
      <c r="H206" s="1">
        <v>3</v>
      </c>
      <c r="I206" s="47">
        <f>IF(H206&gt;0,(H206*$A$3),"")</f>
        <v>1.360776</v>
      </c>
      <c r="J206" s="32">
        <v>18.489999999999998</v>
      </c>
      <c r="K206" s="25">
        <v>10.8</v>
      </c>
      <c r="L206" s="25">
        <v>5.0999999999999996</v>
      </c>
      <c r="M206" s="25">
        <v>2.52</v>
      </c>
      <c r="N206" s="25">
        <v>0.10100000000000001</v>
      </c>
      <c r="O206" s="33">
        <v>5.5E-2</v>
      </c>
      <c r="P206" s="51">
        <f>J206*$A$3</f>
        <v>8.3869160799999989</v>
      </c>
      <c r="Q206" s="51">
        <f t="shared" si="3"/>
        <v>10.8</v>
      </c>
      <c r="R206" s="51">
        <f>L206*$A$3</f>
        <v>2.3133192</v>
      </c>
      <c r="S206" s="51">
        <f>M206*$A$3</f>
        <v>1.14305184</v>
      </c>
      <c r="T206" s="51">
        <f>N206*$A$3</f>
        <v>4.5812792000000005E-2</v>
      </c>
      <c r="U206" s="51">
        <f>O206*$A$3</f>
        <v>2.4947560000000001E-2</v>
      </c>
      <c r="V206" s="32">
        <v>27.7</v>
      </c>
      <c r="W206" s="51">
        <f>V206*$A$3</f>
        <v>12.5644984</v>
      </c>
      <c r="X206" s="44">
        <v>66.599999999999994</v>
      </c>
      <c r="Y206" s="54">
        <v>0.69</v>
      </c>
      <c r="Z206" s="47">
        <f>IF(Y206&gt;0,(Y206*$A$3),"")</f>
        <v>0.31297847999999995</v>
      </c>
      <c r="AA206" s="1">
        <v>0.42</v>
      </c>
      <c r="AB206" s="47">
        <f>IF(AA206&gt;0,(AA206*$A$3),"")</f>
        <v>0.19050863999999998</v>
      </c>
      <c r="AC206" s="1">
        <v>9.1</v>
      </c>
      <c r="AD206" s="1">
        <v>0.36</v>
      </c>
      <c r="AE206" s="6">
        <v>0.2</v>
      </c>
    </row>
    <row r="207" spans="1:31">
      <c r="A207" s="3"/>
      <c r="C207" s="47" t="str">
        <f>IF(B207&gt;0,(B207*$A$3),"")</f>
        <v/>
      </c>
      <c r="D207" s="15">
        <v>1400</v>
      </c>
      <c r="E207" s="47">
        <f>IF(D207&gt;0,(D207*$A$3),"")</f>
        <v>635.02880000000005</v>
      </c>
      <c r="F207" s="15"/>
      <c r="G207" s="15"/>
      <c r="H207" s="1">
        <v>3</v>
      </c>
      <c r="I207" s="47">
        <f>IF(H207&gt;0,(H207*$A$3),"")</f>
        <v>1.360776</v>
      </c>
      <c r="J207" s="32">
        <v>19.54</v>
      </c>
      <c r="K207" s="25">
        <v>11.4</v>
      </c>
      <c r="L207" s="25">
        <v>5.4</v>
      </c>
      <c r="M207" s="25">
        <v>2.56</v>
      </c>
      <c r="N207" s="25">
        <v>0.10100000000000001</v>
      </c>
      <c r="O207" s="33">
        <v>5.6000000000000001E-2</v>
      </c>
      <c r="P207" s="51">
        <f>J207*$A$3</f>
        <v>8.8631876799999993</v>
      </c>
      <c r="Q207" s="51">
        <f t="shared" si="3"/>
        <v>11.4</v>
      </c>
      <c r="R207" s="51">
        <f>L207*$A$3</f>
        <v>2.4493968000000002</v>
      </c>
      <c r="S207" s="51">
        <f>M207*$A$3</f>
        <v>1.1611955199999999</v>
      </c>
      <c r="T207" s="51">
        <f>N207*$A$3</f>
        <v>4.5812792000000005E-2</v>
      </c>
      <c r="U207" s="51">
        <f>O207*$A$3</f>
        <v>2.5401152E-2</v>
      </c>
      <c r="V207" s="32">
        <v>29.3</v>
      </c>
      <c r="W207" s="51">
        <f>V207*$A$3</f>
        <v>13.2902456</v>
      </c>
      <c r="X207" s="44">
        <v>66.599999999999994</v>
      </c>
      <c r="Y207" s="54">
        <v>0.69</v>
      </c>
      <c r="Z207" s="47">
        <f>IF(Y207&gt;0,(Y207*$A$3),"")</f>
        <v>0.31297847999999995</v>
      </c>
      <c r="AA207" s="1">
        <v>0.42</v>
      </c>
      <c r="AB207" s="47">
        <f>IF(AA207&gt;0,(AA207*$A$3),"")</f>
        <v>0.19050863999999998</v>
      </c>
      <c r="AC207" s="1">
        <v>8.6999999999999993</v>
      </c>
      <c r="AD207" s="1">
        <v>0.34</v>
      </c>
      <c r="AE207" s="6">
        <v>0.19</v>
      </c>
    </row>
    <row r="208" spans="1:31">
      <c r="A208" s="3"/>
      <c r="C208" s="47" t="str">
        <f>IF(B208&gt;0,(B208*$A$3),"")</f>
        <v/>
      </c>
      <c r="D208" s="15">
        <v>1500</v>
      </c>
      <c r="E208" s="47">
        <f>IF(D208&gt;0,(D208*$A$3),"")</f>
        <v>680.38800000000003</v>
      </c>
      <c r="F208" s="15"/>
      <c r="G208" s="15"/>
      <c r="H208" s="1">
        <v>3</v>
      </c>
      <c r="I208" s="47">
        <f>IF(H208&gt;0,(H208*$A$3),"")</f>
        <v>1.360776</v>
      </c>
      <c r="J208" s="32">
        <v>20.58</v>
      </c>
      <c r="K208" s="25">
        <v>12</v>
      </c>
      <c r="L208" s="25">
        <v>5.7</v>
      </c>
      <c r="M208" s="25">
        <v>2.59</v>
      </c>
      <c r="N208" s="25">
        <v>0.10100000000000001</v>
      </c>
      <c r="O208" s="33">
        <v>5.7000000000000002E-2</v>
      </c>
      <c r="P208" s="51">
        <f>J208*$A$3</f>
        <v>9.3349233599999994</v>
      </c>
      <c r="Q208" s="51">
        <f t="shared" si="3"/>
        <v>12</v>
      </c>
      <c r="R208" s="51">
        <f>L208*$A$3</f>
        <v>2.5854743999999998</v>
      </c>
      <c r="S208" s="51">
        <f>M208*$A$3</f>
        <v>1.1748032799999999</v>
      </c>
      <c r="T208" s="51">
        <f>N208*$A$3</f>
        <v>4.5812792000000005E-2</v>
      </c>
      <c r="U208" s="51">
        <f>O208*$A$3</f>
        <v>2.5854743999999999E-2</v>
      </c>
      <c r="V208" s="32">
        <v>30.9</v>
      </c>
      <c r="W208" s="51">
        <f>V208*$A$3</f>
        <v>14.015992799999999</v>
      </c>
      <c r="X208" s="44">
        <v>66.599999999999994</v>
      </c>
      <c r="Y208" s="54">
        <v>0.69</v>
      </c>
      <c r="Z208" s="47">
        <f>IF(Y208&gt;0,(Y208*$A$3),"")</f>
        <v>0.31297847999999995</v>
      </c>
      <c r="AA208" s="1">
        <v>0.42</v>
      </c>
      <c r="AB208" s="47">
        <f>IF(AA208&gt;0,(AA208*$A$3),"")</f>
        <v>0.19050863999999998</v>
      </c>
      <c r="AC208" s="1">
        <v>8.4</v>
      </c>
      <c r="AD208" s="1">
        <v>0.33</v>
      </c>
      <c r="AE208" s="6">
        <v>0.18</v>
      </c>
    </row>
    <row r="209" spans="1:31">
      <c r="A209" s="3"/>
      <c r="C209" s="47" t="str">
        <f>IF(B209&gt;0,(B209*$A$3),"")</f>
        <v/>
      </c>
      <c r="D209" s="15">
        <v>1600</v>
      </c>
      <c r="E209" s="47">
        <f>IF(D209&gt;0,(D209*$A$3),"")</f>
        <v>725.74720000000002</v>
      </c>
      <c r="F209" s="15"/>
      <c r="G209" s="15"/>
      <c r="H209" s="1">
        <v>3</v>
      </c>
      <c r="I209" s="47">
        <f>IF(H209&gt;0,(H209*$A$3),"")</f>
        <v>1.360776</v>
      </c>
      <c r="J209" s="32">
        <v>21.59</v>
      </c>
      <c r="K209" s="25">
        <v>12.6</v>
      </c>
      <c r="L209" s="25">
        <v>5.9</v>
      </c>
      <c r="M209" s="25">
        <v>2.63</v>
      </c>
      <c r="N209" s="25">
        <v>0.10199999999999999</v>
      </c>
      <c r="O209" s="33">
        <v>5.8000000000000003E-2</v>
      </c>
      <c r="P209" s="51">
        <f>J209*$A$3</f>
        <v>9.7930512800000002</v>
      </c>
      <c r="Q209" s="51">
        <f t="shared" si="3"/>
        <v>12.6</v>
      </c>
      <c r="R209" s="51">
        <f>L209*$A$3</f>
        <v>2.6761927999999999</v>
      </c>
      <c r="S209" s="51">
        <f>M209*$A$3</f>
        <v>1.19294696</v>
      </c>
      <c r="T209" s="51">
        <f>N209*$A$3</f>
        <v>4.6266383999999994E-2</v>
      </c>
      <c r="U209" s="51">
        <f>O209*$A$3</f>
        <v>2.6308336000000002E-2</v>
      </c>
      <c r="V209" s="32">
        <v>32.4</v>
      </c>
      <c r="W209" s="51">
        <f>V209*$A$3</f>
        <v>14.6963808</v>
      </c>
      <c r="X209" s="44">
        <v>66.599999999999994</v>
      </c>
      <c r="Y209" s="54">
        <v>0.69</v>
      </c>
      <c r="Z209" s="47">
        <f>IF(Y209&gt;0,(Y209*$A$3),"")</f>
        <v>0.31297847999999995</v>
      </c>
      <c r="AA209" s="1">
        <v>0.42</v>
      </c>
      <c r="AB209" s="47">
        <f>IF(AA209&gt;0,(AA209*$A$3),"")</f>
        <v>0.19050863999999998</v>
      </c>
      <c r="AC209" s="1">
        <v>8.1</v>
      </c>
      <c r="AD209" s="1">
        <v>0.31</v>
      </c>
      <c r="AE209" s="6">
        <v>0.18</v>
      </c>
    </row>
    <row r="210" spans="1:31">
      <c r="A210" s="3"/>
      <c r="C210" s="47" t="str">
        <f>IF(B210&gt;0,(B210*$A$3),"")</f>
        <v/>
      </c>
      <c r="D210" s="15">
        <v>1700</v>
      </c>
      <c r="E210" s="47">
        <f>IF(D210&gt;0,(D210*$A$3),"")</f>
        <v>771.10640000000001</v>
      </c>
      <c r="F210" s="15"/>
      <c r="G210" s="15"/>
      <c r="H210" s="1">
        <v>3</v>
      </c>
      <c r="I210" s="47">
        <f>IF(H210&gt;0,(H210*$A$3),"")</f>
        <v>1.360776</v>
      </c>
      <c r="J210" s="32">
        <v>22.61</v>
      </c>
      <c r="K210" s="25">
        <v>13.2</v>
      </c>
      <c r="L210" s="25">
        <v>6.2</v>
      </c>
      <c r="M210" s="25">
        <v>2.66</v>
      </c>
      <c r="N210" s="25">
        <v>0.10199999999999999</v>
      </c>
      <c r="O210" s="33">
        <v>5.8999999999999997E-2</v>
      </c>
      <c r="P210" s="51">
        <f>J210*$A$3</f>
        <v>10.25571512</v>
      </c>
      <c r="Q210" s="51">
        <f t="shared" si="3"/>
        <v>13.2</v>
      </c>
      <c r="R210" s="51">
        <f>L210*$A$3</f>
        <v>2.8122704000000001</v>
      </c>
      <c r="S210" s="51">
        <f>M210*$A$3</f>
        <v>1.20655472</v>
      </c>
      <c r="T210" s="51">
        <f>N210*$A$3</f>
        <v>4.6266383999999994E-2</v>
      </c>
      <c r="U210" s="51">
        <f>O210*$A$3</f>
        <v>2.6761927999999997E-2</v>
      </c>
      <c r="V210" s="32">
        <v>33.9</v>
      </c>
      <c r="W210" s="51">
        <f>V210*$A$3</f>
        <v>15.376768799999999</v>
      </c>
      <c r="X210" s="44">
        <v>66.599999999999994</v>
      </c>
      <c r="Y210" s="54">
        <v>0.69</v>
      </c>
      <c r="Z210" s="47">
        <f>IF(Y210&gt;0,(Y210*$A$3),"")</f>
        <v>0.31297847999999995</v>
      </c>
      <c r="AA210" s="1">
        <v>0.42</v>
      </c>
      <c r="AB210" s="47">
        <f>IF(AA210&gt;0,(AA210*$A$3),"")</f>
        <v>0.19050863999999998</v>
      </c>
      <c r="AC210" s="1">
        <v>7.8</v>
      </c>
      <c r="AD210" s="1">
        <v>0.3</v>
      </c>
      <c r="AE210" s="6">
        <v>0.17</v>
      </c>
    </row>
    <row r="211" spans="1:31">
      <c r="A211" s="3"/>
      <c r="C211" s="47" t="str">
        <f>IF(B211&gt;0,(B211*$A$3),"")</f>
        <v/>
      </c>
      <c r="D211" s="15">
        <v>1800</v>
      </c>
      <c r="E211" s="47">
        <f>IF(D211&gt;0,(D211*$A$3),"")</f>
        <v>816.46559999999999</v>
      </c>
      <c r="F211" s="15"/>
      <c r="G211" s="15"/>
      <c r="H211" s="1">
        <v>3</v>
      </c>
      <c r="I211" s="47">
        <f>IF(H211&gt;0,(H211*$A$3),"")</f>
        <v>1.360776</v>
      </c>
      <c r="J211" s="32">
        <v>23.61</v>
      </c>
      <c r="K211" s="25">
        <v>13.8</v>
      </c>
      <c r="L211" s="25">
        <v>6.5</v>
      </c>
      <c r="M211" s="25">
        <v>2.7</v>
      </c>
      <c r="N211" s="25">
        <v>0.10199999999999999</v>
      </c>
      <c r="O211" s="33">
        <v>6.0999999999999999E-2</v>
      </c>
      <c r="P211" s="51">
        <f>J211*$A$3</f>
        <v>10.70930712</v>
      </c>
      <c r="Q211" s="51">
        <f t="shared" si="3"/>
        <v>13.8</v>
      </c>
      <c r="R211" s="51">
        <f>L211*$A$3</f>
        <v>2.9483480000000002</v>
      </c>
      <c r="S211" s="51">
        <f>M211*$A$3</f>
        <v>1.2246984000000001</v>
      </c>
      <c r="T211" s="51">
        <f>N211*$A$3</f>
        <v>4.6266383999999994E-2</v>
      </c>
      <c r="U211" s="51">
        <f>O211*$A$3</f>
        <v>2.7669111999999999E-2</v>
      </c>
      <c r="V211" s="32">
        <v>35.4</v>
      </c>
      <c r="W211" s="51">
        <f>V211*$A$3</f>
        <v>16.057156799999998</v>
      </c>
      <c r="X211" s="44">
        <v>66.7</v>
      </c>
      <c r="Y211" s="54">
        <v>0.69</v>
      </c>
      <c r="Z211" s="47">
        <f>IF(Y211&gt;0,(Y211*$A$3),"")</f>
        <v>0.31297847999999995</v>
      </c>
      <c r="AA211" s="1">
        <v>0.42</v>
      </c>
      <c r="AB211" s="47">
        <f>IF(AA211&gt;0,(AA211*$A$3),"")</f>
        <v>0.19050863999999998</v>
      </c>
      <c r="AC211" s="1">
        <v>7.6</v>
      </c>
      <c r="AD211" s="1">
        <v>0.28999999999999998</v>
      </c>
      <c r="AE211" s="6">
        <v>0.17</v>
      </c>
    </row>
    <row r="212" spans="1:31">
      <c r="A212" s="3"/>
      <c r="C212" s="47" t="str">
        <f>IF(B212&gt;0,(B212*$A$3),"")</f>
        <v/>
      </c>
      <c r="D212" s="1">
        <v>900</v>
      </c>
      <c r="E212" s="47">
        <f>IF(D212&gt;0,(D212*$A$3),"")</f>
        <v>408.2328</v>
      </c>
      <c r="H212" s="1">
        <v>3.5</v>
      </c>
      <c r="I212" s="47">
        <f>IF(H212&gt;0,(H212*$A$3),"")</f>
        <v>1.587572</v>
      </c>
      <c r="J212" s="32">
        <v>14.64</v>
      </c>
      <c r="K212" s="25">
        <v>8.1999999999999993</v>
      </c>
      <c r="L212" s="25">
        <v>4.5999999999999996</v>
      </c>
      <c r="M212" s="25">
        <v>2.57</v>
      </c>
      <c r="N212" s="25">
        <v>0.112</v>
      </c>
      <c r="O212" s="33">
        <v>5.5E-2</v>
      </c>
      <c r="P212" s="51">
        <f>J212*$A$3</f>
        <v>6.6405868799999999</v>
      </c>
      <c r="Q212" s="51">
        <f t="shared" si="3"/>
        <v>8.1999999999999993</v>
      </c>
      <c r="R212" s="51">
        <f>L212*$A$3</f>
        <v>2.0865231999999998</v>
      </c>
      <c r="S212" s="51">
        <f>M212*$A$3</f>
        <v>1.1657314399999998</v>
      </c>
      <c r="T212" s="51">
        <f>N212*$A$3</f>
        <v>5.0802304E-2</v>
      </c>
      <c r="U212" s="51">
        <f>O212*$A$3</f>
        <v>2.4947560000000001E-2</v>
      </c>
      <c r="V212" s="32">
        <v>20.8</v>
      </c>
      <c r="W212" s="51">
        <f>V212*$A$3</f>
        <v>9.4347136000000003</v>
      </c>
      <c r="X212" s="44">
        <v>70.400000000000006</v>
      </c>
      <c r="Y212" s="54">
        <v>0.75</v>
      </c>
      <c r="Z212" s="47">
        <f>IF(Y212&gt;0,(Y212*$A$3),"")</f>
        <v>0.340194</v>
      </c>
      <c r="AA212" s="1">
        <v>0.47</v>
      </c>
      <c r="AB212" s="47">
        <f>IF(AA212&gt;0,(AA212*$A$3),"")</f>
        <v>0.21318823999999997</v>
      </c>
      <c r="AC212" s="1">
        <v>12.3</v>
      </c>
      <c r="AD212" s="1">
        <v>0.54</v>
      </c>
      <c r="AE212" s="6">
        <v>0.26</v>
      </c>
    </row>
    <row r="213" spans="1:31">
      <c r="A213" s="3"/>
      <c r="C213" s="47" t="str">
        <f>IF(B213&gt;0,(B213*$A$3),"")</f>
        <v/>
      </c>
      <c r="D213" s="15">
        <v>1000</v>
      </c>
      <c r="E213" s="47">
        <f>IF(D213&gt;0,(D213*$A$3),"")</f>
        <v>453.59199999999998</v>
      </c>
      <c r="F213" s="15"/>
      <c r="G213" s="15"/>
      <c r="H213" s="1">
        <v>3.5</v>
      </c>
      <c r="I213" s="47">
        <f>IF(H213&gt;0,(H213*$A$3),"")</f>
        <v>1.587572</v>
      </c>
      <c r="J213" s="32">
        <v>15.85</v>
      </c>
      <c r="K213" s="25">
        <v>8.9</v>
      </c>
      <c r="L213" s="25">
        <v>5</v>
      </c>
      <c r="M213" s="25">
        <v>2.6</v>
      </c>
      <c r="N213" s="25">
        <v>0.111</v>
      </c>
      <c r="O213" s="33">
        <v>5.6000000000000001E-2</v>
      </c>
      <c r="P213" s="51">
        <f>J213*$A$3</f>
        <v>7.1894331999999999</v>
      </c>
      <c r="Q213" s="51">
        <f t="shared" si="3"/>
        <v>8.9</v>
      </c>
      <c r="R213" s="51">
        <f>L213*$A$3</f>
        <v>2.26796</v>
      </c>
      <c r="S213" s="51">
        <f>M213*$A$3</f>
        <v>1.1793392</v>
      </c>
      <c r="T213" s="51">
        <f>N213*$A$3</f>
        <v>5.0348711999999997E-2</v>
      </c>
      <c r="U213" s="51">
        <f>O213*$A$3</f>
        <v>2.5401152E-2</v>
      </c>
      <c r="V213" s="32">
        <v>22.5</v>
      </c>
      <c r="W213" s="51">
        <f>V213*$A$3</f>
        <v>10.205819999999999</v>
      </c>
      <c r="X213" s="44">
        <v>70.400000000000006</v>
      </c>
      <c r="Y213" s="54">
        <v>0.75</v>
      </c>
      <c r="Z213" s="47">
        <f>IF(Y213&gt;0,(Y213*$A$3),"")</f>
        <v>0.340194</v>
      </c>
      <c r="AA213" s="1">
        <v>0.47</v>
      </c>
      <c r="AB213" s="47">
        <f>IF(AA213&gt;0,(AA213*$A$3),"")</f>
        <v>0.21318823999999997</v>
      </c>
      <c r="AC213" s="1">
        <v>11.5</v>
      </c>
      <c r="AD213" s="1">
        <v>0.49</v>
      </c>
      <c r="AE213" s="6">
        <v>0.25</v>
      </c>
    </row>
    <row r="214" spans="1:31">
      <c r="A214" s="3"/>
      <c r="C214" s="47" t="str">
        <f>IF(B214&gt;0,(B214*$A$3),"")</f>
        <v/>
      </c>
      <c r="D214" s="15">
        <v>1100</v>
      </c>
      <c r="E214" s="47">
        <f>IF(D214&gt;0,(D214*$A$3),"")</f>
        <v>498.95119999999997</v>
      </c>
      <c r="F214" s="15"/>
      <c r="G214" s="15"/>
      <c r="H214" s="1">
        <v>3.5</v>
      </c>
      <c r="I214" s="47">
        <f>IF(H214&gt;0,(H214*$A$3),"")</f>
        <v>1.587572</v>
      </c>
      <c r="J214" s="32">
        <v>17</v>
      </c>
      <c r="K214" s="25">
        <v>9.5</v>
      </c>
      <c r="L214" s="25">
        <v>5.4</v>
      </c>
      <c r="M214" s="25">
        <v>2.63</v>
      </c>
      <c r="N214" s="25">
        <v>0.111</v>
      </c>
      <c r="O214" s="33">
        <v>5.7000000000000002E-2</v>
      </c>
      <c r="P214" s="51">
        <f>J214*$A$3</f>
        <v>7.7110640000000004</v>
      </c>
      <c r="Q214" s="51">
        <f t="shared" si="3"/>
        <v>9.5</v>
      </c>
      <c r="R214" s="51">
        <f>L214*$A$3</f>
        <v>2.4493968000000002</v>
      </c>
      <c r="S214" s="51">
        <f>M214*$A$3</f>
        <v>1.19294696</v>
      </c>
      <c r="T214" s="51">
        <f>N214*$A$3</f>
        <v>5.0348711999999997E-2</v>
      </c>
      <c r="U214" s="51">
        <f>O214*$A$3</f>
        <v>2.5854743999999999E-2</v>
      </c>
      <c r="V214" s="32">
        <v>24.2</v>
      </c>
      <c r="W214" s="51">
        <f>V214*$A$3</f>
        <v>10.9769264</v>
      </c>
      <c r="X214" s="44">
        <v>70.3</v>
      </c>
      <c r="Y214" s="54">
        <v>0.75</v>
      </c>
      <c r="Z214" s="47">
        <f>IF(Y214&gt;0,(Y214*$A$3),"")</f>
        <v>0.340194</v>
      </c>
      <c r="AA214" s="1">
        <v>0.47</v>
      </c>
      <c r="AB214" s="47">
        <f>IF(AA214&gt;0,(AA214*$A$3),"")</f>
        <v>0.21318823999999997</v>
      </c>
      <c r="AC214" s="1">
        <v>10.9</v>
      </c>
      <c r="AD214" s="1">
        <v>0.46</v>
      </c>
      <c r="AE214" s="6">
        <v>0.23</v>
      </c>
    </row>
    <row r="215" spans="1:31">
      <c r="A215" s="3"/>
      <c r="C215" s="47" t="str">
        <f>IF(B215&gt;0,(B215*$A$3),"")</f>
        <v/>
      </c>
      <c r="D215" s="15">
        <v>1200</v>
      </c>
      <c r="E215" s="47">
        <f>IF(D215&gt;0,(D215*$A$3),"")</f>
        <v>544.31039999999996</v>
      </c>
      <c r="F215" s="15"/>
      <c r="G215" s="15"/>
      <c r="H215" s="1">
        <v>3.5</v>
      </c>
      <c r="I215" s="47">
        <f>IF(H215&gt;0,(H215*$A$3),"")</f>
        <v>1.587572</v>
      </c>
      <c r="J215" s="32">
        <v>18.18</v>
      </c>
      <c r="K215" s="25">
        <v>10.199999999999999</v>
      </c>
      <c r="L215" s="25">
        <v>5.7</v>
      </c>
      <c r="M215" s="25">
        <v>2.66</v>
      </c>
      <c r="N215" s="25">
        <v>0.111</v>
      </c>
      <c r="O215" s="33">
        <v>5.7000000000000002E-2</v>
      </c>
      <c r="P215" s="51">
        <f>J215*$A$3</f>
        <v>8.2463025600000002</v>
      </c>
      <c r="Q215" s="51">
        <f t="shared" si="3"/>
        <v>10.199999999999999</v>
      </c>
      <c r="R215" s="51">
        <f>L215*$A$3</f>
        <v>2.5854743999999998</v>
      </c>
      <c r="S215" s="51">
        <f>M215*$A$3</f>
        <v>1.20655472</v>
      </c>
      <c r="T215" s="51">
        <f>N215*$A$3</f>
        <v>5.0348711999999997E-2</v>
      </c>
      <c r="U215" s="51">
        <f>O215*$A$3</f>
        <v>2.5854743999999999E-2</v>
      </c>
      <c r="V215" s="32">
        <v>25.8</v>
      </c>
      <c r="W215" s="51">
        <f>V215*$A$3</f>
        <v>11.702673600000001</v>
      </c>
      <c r="X215" s="44">
        <v>70.400000000000006</v>
      </c>
      <c r="Y215" s="54">
        <v>0.75</v>
      </c>
      <c r="Z215" s="47">
        <f>IF(Y215&gt;0,(Y215*$A$3),"")</f>
        <v>0.340194</v>
      </c>
      <c r="AA215" s="1">
        <v>0.47</v>
      </c>
      <c r="AB215" s="47">
        <f>IF(AA215&gt;0,(AA215*$A$3),"")</f>
        <v>0.21318823999999997</v>
      </c>
      <c r="AC215" s="1">
        <v>10.3</v>
      </c>
      <c r="AD215" s="1">
        <v>0.43</v>
      </c>
      <c r="AE215" s="6">
        <v>0.22</v>
      </c>
    </row>
    <row r="216" spans="1:31">
      <c r="A216" s="3"/>
      <c r="C216" s="47" t="str">
        <f>IF(B216&gt;0,(B216*$A$3),"")</f>
        <v/>
      </c>
      <c r="D216" s="15">
        <v>1300</v>
      </c>
      <c r="E216" s="47">
        <f>IF(D216&gt;0,(D216*$A$3),"")</f>
        <v>589.66959999999995</v>
      </c>
      <c r="F216" s="15"/>
      <c r="G216" s="15"/>
      <c r="H216" s="1">
        <v>3.5</v>
      </c>
      <c r="I216" s="47">
        <f>IF(H216&gt;0,(H216*$A$3),"")</f>
        <v>1.587572</v>
      </c>
      <c r="J216" s="32">
        <v>19.28</v>
      </c>
      <c r="K216" s="25">
        <v>10.8</v>
      </c>
      <c r="L216" s="25">
        <v>6.1</v>
      </c>
      <c r="M216" s="25">
        <v>2.69</v>
      </c>
      <c r="N216" s="25">
        <v>0.11</v>
      </c>
      <c r="O216" s="33">
        <v>5.8000000000000003E-2</v>
      </c>
      <c r="P216" s="51">
        <f>J216*$A$3</f>
        <v>8.7452537600000007</v>
      </c>
      <c r="Q216" s="51">
        <f t="shared" si="3"/>
        <v>10.8</v>
      </c>
      <c r="R216" s="51">
        <f>L216*$A$3</f>
        <v>2.7669112</v>
      </c>
      <c r="S216" s="51">
        <f>M216*$A$3</f>
        <v>1.2201624799999999</v>
      </c>
      <c r="T216" s="51">
        <f>N216*$A$3</f>
        <v>4.9895120000000001E-2</v>
      </c>
      <c r="U216" s="51">
        <f>O216*$A$3</f>
        <v>2.6308336000000002E-2</v>
      </c>
      <c r="V216" s="32">
        <v>27.4</v>
      </c>
      <c r="W216" s="51">
        <f>V216*$A$3</f>
        <v>12.4284208</v>
      </c>
      <c r="X216" s="44">
        <v>70.3</v>
      </c>
      <c r="Y216" s="54">
        <v>0.75</v>
      </c>
      <c r="Z216" s="47">
        <f>IF(Y216&gt;0,(Y216*$A$3),"")</f>
        <v>0.340194</v>
      </c>
      <c r="AA216" s="1">
        <v>0.47</v>
      </c>
      <c r="AB216" s="47">
        <f>IF(AA216&gt;0,(AA216*$A$3),"")</f>
        <v>0.21318823999999997</v>
      </c>
      <c r="AC216" s="1">
        <v>9.8000000000000007</v>
      </c>
      <c r="AD216" s="1">
        <v>0.4</v>
      </c>
      <c r="AE216" s="6">
        <v>0.21</v>
      </c>
    </row>
    <row r="217" spans="1:31">
      <c r="A217" s="3"/>
      <c r="C217" s="47" t="str">
        <f>IF(B217&gt;0,(B217*$A$3),"")</f>
        <v/>
      </c>
      <c r="D217" s="15">
        <v>1400</v>
      </c>
      <c r="E217" s="47">
        <f>IF(D217&gt;0,(D217*$A$3),"")</f>
        <v>635.02880000000005</v>
      </c>
      <c r="F217" s="15"/>
      <c r="G217" s="15"/>
      <c r="H217" s="1">
        <v>3.5</v>
      </c>
      <c r="I217" s="47">
        <f>IF(H217&gt;0,(H217*$A$3),"")</f>
        <v>1.587572</v>
      </c>
      <c r="J217" s="32">
        <v>20.37</v>
      </c>
      <c r="K217" s="25">
        <v>11.4</v>
      </c>
      <c r="L217" s="25">
        <v>6.5</v>
      </c>
      <c r="M217" s="25">
        <v>2.71</v>
      </c>
      <c r="N217" s="25">
        <v>0.11</v>
      </c>
      <c r="O217" s="33">
        <v>5.8999999999999997E-2</v>
      </c>
      <c r="P217" s="51">
        <f>J217*$A$3</f>
        <v>9.2396690400000008</v>
      </c>
      <c r="Q217" s="51">
        <f t="shared" si="3"/>
        <v>11.4</v>
      </c>
      <c r="R217" s="51">
        <f>L217*$A$3</f>
        <v>2.9483480000000002</v>
      </c>
      <c r="S217" s="51">
        <f>M217*$A$3</f>
        <v>1.22923432</v>
      </c>
      <c r="T217" s="51">
        <f>N217*$A$3</f>
        <v>4.9895120000000001E-2</v>
      </c>
      <c r="U217" s="51">
        <f>O217*$A$3</f>
        <v>2.6761927999999997E-2</v>
      </c>
      <c r="V217" s="32">
        <v>29</v>
      </c>
      <c r="W217" s="51">
        <f>V217*$A$3</f>
        <v>13.154168</v>
      </c>
      <c r="X217" s="44">
        <v>70.3</v>
      </c>
      <c r="Y217" s="54">
        <v>0.75</v>
      </c>
      <c r="Z217" s="47">
        <f>IF(Y217&gt;0,(Y217*$A$3),"")</f>
        <v>0.340194</v>
      </c>
      <c r="AA217" s="1">
        <v>0.47</v>
      </c>
      <c r="AB217" s="47">
        <f>IF(AA217&gt;0,(AA217*$A$3),"")</f>
        <v>0.21318823999999997</v>
      </c>
      <c r="AC217" s="1">
        <v>9.4</v>
      </c>
      <c r="AD217" s="1">
        <v>0.38</v>
      </c>
      <c r="AE217" s="6">
        <v>0.2</v>
      </c>
    </row>
    <row r="218" spans="1:31">
      <c r="A218" s="3"/>
      <c r="C218" s="47" t="str">
        <f>IF(B218&gt;0,(B218*$A$3),"")</f>
        <v/>
      </c>
      <c r="D218" s="15">
        <v>1500</v>
      </c>
      <c r="E218" s="47">
        <f>IF(D218&gt;0,(D218*$A$3),"")</f>
        <v>680.38800000000003</v>
      </c>
      <c r="F218" s="15"/>
      <c r="G218" s="15"/>
      <c r="H218" s="1">
        <v>3.5</v>
      </c>
      <c r="I218" s="47">
        <f>IF(H218&gt;0,(H218*$A$3),"")</f>
        <v>1.587572</v>
      </c>
      <c r="J218" s="32">
        <v>21.45</v>
      </c>
      <c r="K218" s="25">
        <v>12</v>
      </c>
      <c r="L218" s="25">
        <v>6.8</v>
      </c>
      <c r="M218" s="25">
        <v>2.74</v>
      </c>
      <c r="N218" s="25">
        <v>0.11</v>
      </c>
      <c r="O218" s="33">
        <v>0.06</v>
      </c>
      <c r="P218" s="51">
        <f>J218*$A$3</f>
        <v>9.7295483999999988</v>
      </c>
      <c r="Q218" s="51">
        <f t="shared" si="3"/>
        <v>12</v>
      </c>
      <c r="R218" s="51">
        <f>L218*$A$3</f>
        <v>3.0844255999999999</v>
      </c>
      <c r="S218" s="51">
        <f>M218*$A$3</f>
        <v>1.2428420800000002</v>
      </c>
      <c r="T218" s="51">
        <f>N218*$A$3</f>
        <v>4.9895120000000001E-2</v>
      </c>
      <c r="U218" s="51">
        <f>O218*$A$3</f>
        <v>2.721552E-2</v>
      </c>
      <c r="V218" s="32">
        <v>30.5</v>
      </c>
      <c r="W218" s="51">
        <f>V218*$A$3</f>
        <v>13.834555999999999</v>
      </c>
      <c r="X218" s="44">
        <v>70.3</v>
      </c>
      <c r="Y218" s="54">
        <v>0.75</v>
      </c>
      <c r="Z218" s="47">
        <f>IF(Y218&gt;0,(Y218*$A$3),"")</f>
        <v>0.340194</v>
      </c>
      <c r="AA218" s="1">
        <v>0.47</v>
      </c>
      <c r="AB218" s="47">
        <f>IF(AA218&gt;0,(AA218*$A$3),"")</f>
        <v>0.21318823999999997</v>
      </c>
      <c r="AC218" s="1">
        <v>9</v>
      </c>
      <c r="AD218" s="1">
        <v>0.36</v>
      </c>
      <c r="AE218" s="6">
        <v>0.2</v>
      </c>
    </row>
    <row r="219" spans="1:31">
      <c r="A219" s="3"/>
      <c r="C219" s="47" t="str">
        <f>IF(B219&gt;0,(B219*$A$3),"")</f>
        <v/>
      </c>
      <c r="D219" s="15">
        <v>1600</v>
      </c>
      <c r="E219" s="47">
        <f>IF(D219&gt;0,(D219*$A$3),"")</f>
        <v>725.74720000000002</v>
      </c>
      <c r="F219" s="15"/>
      <c r="G219" s="15"/>
      <c r="H219" s="1">
        <v>3.5</v>
      </c>
      <c r="I219" s="47">
        <f>IF(H219&gt;0,(H219*$A$3),"")</f>
        <v>1.587572</v>
      </c>
      <c r="J219" s="32">
        <v>22.52</v>
      </c>
      <c r="K219" s="25">
        <v>12.6</v>
      </c>
      <c r="L219" s="25">
        <v>7.1</v>
      </c>
      <c r="M219" s="25">
        <v>2.77</v>
      </c>
      <c r="N219" s="25">
        <v>0.11</v>
      </c>
      <c r="O219" s="33">
        <v>6.0999999999999999E-2</v>
      </c>
      <c r="P219" s="51">
        <f>J219*$A$3</f>
        <v>10.21489184</v>
      </c>
      <c r="Q219" s="51">
        <f t="shared" ref="Q219:Q282" si="4">K219</f>
        <v>12.6</v>
      </c>
      <c r="R219" s="51">
        <f>L219*$A$3</f>
        <v>3.2205032</v>
      </c>
      <c r="S219" s="51">
        <f>M219*$A$3</f>
        <v>1.2564498399999999</v>
      </c>
      <c r="T219" s="51">
        <f>N219*$A$3</f>
        <v>4.9895120000000001E-2</v>
      </c>
      <c r="U219" s="51">
        <f>O219*$A$3</f>
        <v>2.7669111999999999E-2</v>
      </c>
      <c r="V219" s="32">
        <v>32</v>
      </c>
      <c r="W219" s="51">
        <f>V219*$A$3</f>
        <v>14.514944</v>
      </c>
      <c r="X219" s="44">
        <v>70.3</v>
      </c>
      <c r="Y219" s="54">
        <v>0.75</v>
      </c>
      <c r="Z219" s="47">
        <f>IF(Y219&gt;0,(Y219*$A$3),"")</f>
        <v>0.340194</v>
      </c>
      <c r="AA219" s="1">
        <v>0.47</v>
      </c>
      <c r="AB219" s="47">
        <f>IF(AA219&gt;0,(AA219*$A$3),"")</f>
        <v>0.21318823999999997</v>
      </c>
      <c r="AC219" s="1">
        <v>8.6</v>
      </c>
      <c r="AD219" s="1">
        <v>0.34</v>
      </c>
      <c r="AE219" s="6">
        <v>0.19</v>
      </c>
    </row>
    <row r="220" spans="1:31">
      <c r="A220" s="3"/>
      <c r="C220" s="47" t="str">
        <f>IF(B220&gt;0,(B220*$A$3),"")</f>
        <v/>
      </c>
      <c r="D220" s="15">
        <v>1700</v>
      </c>
      <c r="E220" s="47">
        <f>IF(D220&gt;0,(D220*$A$3),"")</f>
        <v>771.10640000000001</v>
      </c>
      <c r="F220" s="15"/>
      <c r="G220" s="15"/>
      <c r="H220" s="1">
        <v>3.5</v>
      </c>
      <c r="I220" s="47">
        <f>IF(H220&gt;0,(H220*$A$3),"")</f>
        <v>1.587572</v>
      </c>
      <c r="J220" s="32">
        <v>23.57</v>
      </c>
      <c r="K220" s="25">
        <v>13.2</v>
      </c>
      <c r="L220" s="25">
        <v>7.5</v>
      </c>
      <c r="M220" s="25">
        <v>2.79</v>
      </c>
      <c r="N220" s="25">
        <v>0.11</v>
      </c>
      <c r="O220" s="33">
        <v>6.2E-2</v>
      </c>
      <c r="P220" s="51">
        <f>J220*$A$3</f>
        <v>10.69116344</v>
      </c>
      <c r="Q220" s="51">
        <f t="shared" si="4"/>
        <v>13.2</v>
      </c>
      <c r="R220" s="51">
        <f>L220*$A$3</f>
        <v>3.4019399999999997</v>
      </c>
      <c r="S220" s="51">
        <f>M220*$A$3</f>
        <v>1.26552168</v>
      </c>
      <c r="T220" s="51">
        <f>N220*$A$3</f>
        <v>4.9895120000000001E-2</v>
      </c>
      <c r="U220" s="51">
        <f>O220*$A$3</f>
        <v>2.8122703999999998E-2</v>
      </c>
      <c r="V220" s="32">
        <v>33.5</v>
      </c>
      <c r="W220" s="51">
        <f>V220*$A$3</f>
        <v>15.195332000000001</v>
      </c>
      <c r="X220" s="44">
        <v>70.3</v>
      </c>
      <c r="Y220" s="54">
        <v>0.75</v>
      </c>
      <c r="Z220" s="47">
        <f>IF(Y220&gt;0,(Y220*$A$3),"")</f>
        <v>0.340194</v>
      </c>
      <c r="AA220" s="1">
        <v>0.47</v>
      </c>
      <c r="AB220" s="47">
        <f>IF(AA220&gt;0,(AA220*$A$3),"")</f>
        <v>0.21318823999999997</v>
      </c>
      <c r="AC220" s="1">
        <v>8.3000000000000007</v>
      </c>
      <c r="AD220" s="1">
        <v>0.33</v>
      </c>
      <c r="AE220" s="6">
        <v>0.19</v>
      </c>
    </row>
    <row r="221" spans="1:31">
      <c r="A221" s="13"/>
      <c r="B221" s="8"/>
      <c r="C221" s="47" t="str">
        <f>IF(B221&gt;0,(B221*$A$3),"")</f>
        <v/>
      </c>
      <c r="D221" s="16">
        <v>1800</v>
      </c>
      <c r="E221" s="47">
        <f>IF(D221&gt;0,(D221*$A$3),"")</f>
        <v>816.46559999999999</v>
      </c>
      <c r="F221" s="16"/>
      <c r="G221" s="16"/>
      <c r="H221" s="1">
        <v>3.5</v>
      </c>
      <c r="I221" s="47">
        <f>IF(H221&gt;0,(H221*$A$3),"")</f>
        <v>1.587572</v>
      </c>
      <c r="J221" s="34">
        <v>24.62</v>
      </c>
      <c r="K221" s="35">
        <v>13.8</v>
      </c>
      <c r="L221" s="35">
        <v>7.8</v>
      </c>
      <c r="M221" s="35">
        <v>2.82</v>
      </c>
      <c r="N221" s="35">
        <v>0.11</v>
      </c>
      <c r="O221" s="36">
        <v>6.3E-2</v>
      </c>
      <c r="P221" s="51">
        <f>J221*$A$3</f>
        <v>11.167435040000001</v>
      </c>
      <c r="Q221" s="51">
        <f t="shared" si="4"/>
        <v>13.8</v>
      </c>
      <c r="R221" s="51">
        <f>L221*$A$3</f>
        <v>3.5380175999999999</v>
      </c>
      <c r="S221" s="51">
        <f>M221*$A$3</f>
        <v>1.27912944</v>
      </c>
      <c r="T221" s="51">
        <f>N221*$A$3</f>
        <v>4.9895120000000001E-2</v>
      </c>
      <c r="U221" s="51">
        <f>O221*$A$3</f>
        <v>2.8576296000000001E-2</v>
      </c>
      <c r="V221" s="34">
        <v>35</v>
      </c>
      <c r="W221" s="51">
        <f>V221*$A$3</f>
        <v>15.875719999999999</v>
      </c>
      <c r="X221" s="46">
        <v>70.400000000000006</v>
      </c>
      <c r="Y221" s="56">
        <v>0.75</v>
      </c>
      <c r="Z221" s="47">
        <f>IF(Y221&gt;0,(Y221*$A$3),"")</f>
        <v>0.340194</v>
      </c>
      <c r="AA221" s="8">
        <v>0.47</v>
      </c>
      <c r="AB221" s="47">
        <f>IF(AA221&gt;0,(AA221*$A$3),"")</f>
        <v>0.21318823999999997</v>
      </c>
      <c r="AC221" s="8">
        <v>8.1</v>
      </c>
      <c r="AD221" s="8">
        <v>0.31</v>
      </c>
      <c r="AE221" s="9">
        <v>0.18</v>
      </c>
    </row>
    <row r="222" spans="1:31">
      <c r="C222" s="47" t="str">
        <f>IF(B222&gt;0,(B222*$A$3),"")</f>
        <v/>
      </c>
      <c r="P222" s="51">
        <f>J222*$A$3</f>
        <v>0</v>
      </c>
      <c r="Q222" s="51">
        <f t="shared" si="4"/>
        <v>0</v>
      </c>
      <c r="R222" s="51">
        <f>L222*$A$3</f>
        <v>0</v>
      </c>
      <c r="S222" s="51">
        <f>M222*$A$3</f>
        <v>0</v>
      </c>
      <c r="T222" s="51">
        <f>N222*$A$3</f>
        <v>0</v>
      </c>
      <c r="U222" s="51">
        <f>O222*$A$3</f>
        <v>0</v>
      </c>
    </row>
    <row r="223" spans="1:31">
      <c r="A223" s="11"/>
      <c r="B223" s="10"/>
      <c r="C223" s="47" t="str">
        <f>IF(B223&gt;0,(B223*$A$3),"")</f>
        <v/>
      </c>
      <c r="D223" s="10"/>
      <c r="E223" s="53"/>
      <c r="F223" s="10"/>
      <c r="G223" s="10"/>
      <c r="H223" s="10"/>
      <c r="I223" s="57"/>
      <c r="J223" s="26" t="s">
        <v>10</v>
      </c>
      <c r="K223" s="27"/>
      <c r="L223" s="27"/>
      <c r="M223" s="27"/>
      <c r="N223" s="27"/>
      <c r="O223" s="28"/>
      <c r="P223" s="51" t="e">
        <f>J223*$A$3</f>
        <v>#VALUE!</v>
      </c>
      <c r="Q223" s="51">
        <f t="shared" si="4"/>
        <v>0</v>
      </c>
      <c r="R223" s="51">
        <f>L223*$A$3</f>
        <v>0</v>
      </c>
      <c r="S223" s="51">
        <f>M223*$A$3</f>
        <v>0</v>
      </c>
      <c r="T223" s="51">
        <f>N223*$A$3</f>
        <v>0</v>
      </c>
      <c r="U223" s="51">
        <f>O223*$A$3</f>
        <v>0</v>
      </c>
      <c r="V223" s="21" t="s">
        <v>21</v>
      </c>
      <c r="W223" s="21"/>
      <c r="X223" s="21"/>
      <c r="Y223" s="21"/>
      <c r="Z223" s="21"/>
      <c r="AA223" s="21"/>
      <c r="AB223" s="21"/>
      <c r="AC223" s="21"/>
      <c r="AD223" s="21"/>
      <c r="AE223" s="22"/>
    </row>
    <row r="224" spans="1:31" ht="26">
      <c r="A224" s="12" t="s">
        <v>72</v>
      </c>
      <c r="B224" s="2" t="s">
        <v>27</v>
      </c>
      <c r="C224" s="47" t="s">
        <v>132</v>
      </c>
      <c r="D224" s="2"/>
      <c r="E224" s="49"/>
      <c r="F224" s="2"/>
      <c r="G224" s="2"/>
      <c r="H224" s="2"/>
      <c r="I224" s="45"/>
      <c r="J224" s="29" t="s">
        <v>11</v>
      </c>
      <c r="K224" s="30" t="s">
        <v>23</v>
      </c>
      <c r="L224" s="30" t="s">
        <v>24</v>
      </c>
      <c r="M224" s="30" t="s">
        <v>12</v>
      </c>
      <c r="N224" s="30" t="s">
        <v>13</v>
      </c>
      <c r="O224" s="31" t="s">
        <v>14</v>
      </c>
      <c r="P224" s="48" t="s">
        <v>130</v>
      </c>
      <c r="Q224" s="49" t="s">
        <v>23</v>
      </c>
      <c r="R224" s="49" t="s">
        <v>129</v>
      </c>
      <c r="S224" s="49" t="s">
        <v>117</v>
      </c>
      <c r="T224" s="49" t="s">
        <v>118</v>
      </c>
      <c r="U224" s="50" t="s">
        <v>119</v>
      </c>
      <c r="V224" s="29" t="s">
        <v>15</v>
      </c>
      <c r="W224" s="48" t="s">
        <v>120</v>
      </c>
      <c r="X224" s="45" t="s">
        <v>16</v>
      </c>
      <c r="Y224" s="55" t="s">
        <v>17</v>
      </c>
      <c r="Z224" s="49"/>
      <c r="AA224" s="2" t="s">
        <v>24</v>
      </c>
      <c r="AB224" s="49"/>
      <c r="AC224" s="2" t="s">
        <v>18</v>
      </c>
      <c r="AD224" s="2" t="s">
        <v>19</v>
      </c>
      <c r="AE224" s="4" t="s">
        <v>20</v>
      </c>
    </row>
    <row r="225" spans="1:31">
      <c r="A225" s="3"/>
      <c r="B225" s="1">
        <v>1800</v>
      </c>
      <c r="C225" s="47">
        <f>IF(B225&gt;0,(B225*$A$3),"")</f>
        <v>816.46559999999999</v>
      </c>
      <c r="J225" s="32">
        <v>16</v>
      </c>
      <c r="K225" s="25">
        <v>13.8</v>
      </c>
      <c r="M225" s="25">
        <v>1.86</v>
      </c>
      <c r="N225" s="25">
        <v>5.2999999999999999E-2</v>
      </c>
      <c r="O225" s="33">
        <v>4.1000000000000002E-2</v>
      </c>
      <c r="P225" s="51">
        <f>J225*$A$3</f>
        <v>7.2574719999999999</v>
      </c>
      <c r="Q225" s="51">
        <f t="shared" si="4"/>
        <v>13.8</v>
      </c>
      <c r="R225" s="51">
        <f>L225*$A$3</f>
        <v>0</v>
      </c>
      <c r="S225" s="51">
        <f>M225*$A$3</f>
        <v>0.84368112000000006</v>
      </c>
      <c r="T225" s="51">
        <f>N225*$A$3</f>
        <v>2.4040375999999999E-2</v>
      </c>
      <c r="U225" s="51">
        <f>O225*$A$3</f>
        <v>1.8597272000000001E-2</v>
      </c>
      <c r="V225" s="25">
        <v>32.700000000000003</v>
      </c>
      <c r="W225" s="47">
        <f>V225*$A$3</f>
        <v>14.832458400000002</v>
      </c>
      <c r="X225" s="44">
        <v>48.9</v>
      </c>
      <c r="Y225" s="54">
        <v>0.42</v>
      </c>
      <c r="Z225" s="47">
        <f>IF(Y225&gt;0,(Y225*$A$3),"")</f>
        <v>0.19050863999999998</v>
      </c>
      <c r="AA225" s="1">
        <v>0.18</v>
      </c>
      <c r="AB225" s="47">
        <f>IF(AA225&gt;0,(AA225*$A$3),"")</f>
        <v>8.1646559999999993E-2</v>
      </c>
      <c r="AC225" s="1">
        <v>5.7</v>
      </c>
      <c r="AD225" s="1">
        <v>0.16</v>
      </c>
      <c r="AE225" s="6">
        <v>0.12</v>
      </c>
    </row>
    <row r="226" spans="1:31">
      <c r="A226" s="13"/>
      <c r="B226" s="8">
        <v>2200</v>
      </c>
      <c r="C226" s="47">
        <f>IF(B226&gt;0,(B226*$A$3),"")</f>
        <v>997.90239999999994</v>
      </c>
      <c r="D226" s="8"/>
      <c r="E226" s="52"/>
      <c r="F226" s="8"/>
      <c r="G226" s="8"/>
      <c r="H226" s="8"/>
      <c r="I226" s="46"/>
      <c r="J226" s="34">
        <v>18.600000000000001</v>
      </c>
      <c r="K226" s="35">
        <v>16</v>
      </c>
      <c r="L226" s="35"/>
      <c r="M226" s="35">
        <v>2.16</v>
      </c>
      <c r="N226" s="35">
        <v>6.5000000000000002E-2</v>
      </c>
      <c r="O226" s="36">
        <v>0.05</v>
      </c>
      <c r="P226" s="51">
        <f>J226*$A$3</f>
        <v>8.4368112000000011</v>
      </c>
      <c r="Q226" s="51">
        <f t="shared" si="4"/>
        <v>16</v>
      </c>
      <c r="R226" s="51">
        <f>L226*$A$3</f>
        <v>0</v>
      </c>
      <c r="S226" s="51">
        <f>M226*$A$3</f>
        <v>0.97975872000000008</v>
      </c>
      <c r="T226" s="51">
        <f>N226*$A$3</f>
        <v>2.9483479999999999E-2</v>
      </c>
      <c r="U226" s="51">
        <f>O226*$A$3</f>
        <v>2.2679600000000001E-2</v>
      </c>
      <c r="V226" s="35">
        <v>38</v>
      </c>
      <c r="W226" s="47">
        <f>V226*$A$3</f>
        <v>17.236495999999999</v>
      </c>
      <c r="X226" s="46">
        <v>48.9</v>
      </c>
      <c r="Y226" s="56">
        <v>0.42</v>
      </c>
      <c r="Z226" s="47">
        <f>IF(Y226&gt;0,(Y226*$A$3),"")</f>
        <v>0.19050863999999998</v>
      </c>
      <c r="AA226" s="8">
        <v>0.18</v>
      </c>
      <c r="AB226" s="52"/>
      <c r="AC226" s="8">
        <v>5.7</v>
      </c>
      <c r="AD226" s="8">
        <v>0.17</v>
      </c>
      <c r="AE226" s="9">
        <v>0.13</v>
      </c>
    </row>
    <row r="285" spans="10:24">
      <c r="J285" s="25" t="s">
        <v>44</v>
      </c>
      <c r="K285" s="25" t="s">
        <v>45</v>
      </c>
      <c r="L285" s="25" t="s">
        <v>46</v>
      </c>
      <c r="M285" s="25" t="s">
        <v>47</v>
      </c>
      <c r="N285" s="25" t="s">
        <v>48</v>
      </c>
    </row>
    <row r="286" spans="10:24">
      <c r="J286" s="25" t="s">
        <v>49</v>
      </c>
      <c r="K286" s="25" t="s">
        <v>50</v>
      </c>
      <c r="L286" s="25" t="s">
        <v>51</v>
      </c>
      <c r="M286" s="25" t="s">
        <v>52</v>
      </c>
      <c r="N286" s="25" t="s">
        <v>53</v>
      </c>
      <c r="O286" s="25" t="s">
        <v>54</v>
      </c>
      <c r="V286" s="25" t="s">
        <v>55</v>
      </c>
      <c r="X286" s="44" t="s">
        <v>56</v>
      </c>
    </row>
    <row r="287" spans="10:24">
      <c r="J287" s="25" t="s">
        <v>57</v>
      </c>
      <c r="K287" s="25">
        <v>1</v>
      </c>
      <c r="L287" s="25" t="s">
        <v>58</v>
      </c>
      <c r="M287" s="25" t="s">
        <v>59</v>
      </c>
      <c r="N287" s="25" t="s">
        <v>60</v>
      </c>
    </row>
    <row r="288" spans="10:24">
      <c r="J288" s="25" t="s">
        <v>57</v>
      </c>
      <c r="K288" s="25">
        <v>2</v>
      </c>
      <c r="L288" s="25" t="s">
        <v>61</v>
      </c>
      <c r="M288" s="25" t="s">
        <v>62</v>
      </c>
      <c r="N288" s="25" t="s">
        <v>63</v>
      </c>
      <c r="O288" s="25" t="s">
        <v>64</v>
      </c>
    </row>
    <row r="289" spans="10:15">
      <c r="J289" s="25" t="s">
        <v>57</v>
      </c>
      <c r="K289" s="25">
        <v>3</v>
      </c>
      <c r="L289" s="25" t="s">
        <v>58</v>
      </c>
      <c r="M289" s="25" t="s">
        <v>65</v>
      </c>
      <c r="N289" s="25" t="s">
        <v>66</v>
      </c>
      <c r="O289" s="25" t="s">
        <v>67</v>
      </c>
    </row>
    <row r="290" spans="10:15">
      <c r="J290" s="25" t="s">
        <v>57</v>
      </c>
      <c r="K290" s="25">
        <v>4</v>
      </c>
      <c r="L290" s="25" t="s">
        <v>68</v>
      </c>
      <c r="M290" s="25" t="s">
        <v>69</v>
      </c>
      <c r="N290" s="25" t="s">
        <v>70</v>
      </c>
    </row>
    <row r="291" spans="10:15">
      <c r="J291" s="25" t="s">
        <v>71</v>
      </c>
      <c r="K291" s="25" t="s">
        <v>54</v>
      </c>
    </row>
  </sheetData>
  <mergeCells count="18">
    <mergeCell ref="J132:O132"/>
    <mergeCell ref="V132:AE132"/>
    <mergeCell ref="J160:O160"/>
    <mergeCell ref="V160:AE160"/>
    <mergeCell ref="J223:O223"/>
    <mergeCell ref="V223:AE223"/>
    <mergeCell ref="J52:O52"/>
    <mergeCell ref="V52:AE52"/>
    <mergeCell ref="J70:O70"/>
    <mergeCell ref="V70:AE70"/>
    <mergeCell ref="J93:O93"/>
    <mergeCell ref="V93:AE93"/>
    <mergeCell ref="J10:N10"/>
    <mergeCell ref="O10:AC10"/>
    <mergeCell ref="J25:O25"/>
    <mergeCell ref="V25:AE25"/>
    <mergeCell ref="J40:O40"/>
    <mergeCell ref="V40:AE4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4AA56-66F0-354E-A37B-5948FF0A248A}">
  <dimension ref="A1:S291"/>
  <sheetViews>
    <sheetView topLeftCell="A47" workbookViewId="0">
      <selection activeCell="B53" sqref="B53:S68"/>
    </sheetView>
  </sheetViews>
  <sheetFormatPr baseColWidth="10" defaultRowHeight="13"/>
  <cols>
    <col min="1" max="1" width="51.6640625" bestFit="1" customWidth="1"/>
    <col min="2" max="2" width="14.1640625" bestFit="1" customWidth="1"/>
  </cols>
  <sheetData>
    <row r="1" spans="1:19">
      <c r="A1" t="s">
        <v>1</v>
      </c>
      <c r="B1" s="58"/>
      <c r="C1" s="58"/>
      <c r="D1" t="s">
        <v>32</v>
      </c>
      <c r="G1" s="58"/>
      <c r="H1" s="58"/>
      <c r="I1" s="58"/>
      <c r="J1" s="58"/>
      <c r="K1" s="58"/>
      <c r="L1" s="58"/>
      <c r="M1" s="58"/>
      <c r="O1" s="58"/>
      <c r="P1" s="58"/>
    </row>
    <row r="2" spans="1:19">
      <c r="A2">
        <v>0.453592</v>
      </c>
      <c r="B2" s="58"/>
      <c r="C2" s="58"/>
      <c r="D2" t="s">
        <v>33</v>
      </c>
      <c r="G2" s="58"/>
      <c r="H2" s="58"/>
      <c r="I2" s="58"/>
      <c r="J2" s="58"/>
      <c r="K2" s="58"/>
      <c r="L2" s="58"/>
      <c r="M2" s="58"/>
      <c r="O2" s="58"/>
      <c r="P2" s="58"/>
    </row>
    <row r="3" spans="1:19">
      <c r="B3" s="58"/>
      <c r="C3" s="58"/>
      <c r="D3" t="s">
        <v>34</v>
      </c>
      <c r="G3" s="58"/>
      <c r="H3" s="58"/>
      <c r="I3" s="58"/>
      <c r="J3" s="58"/>
      <c r="K3" s="58"/>
      <c r="L3" s="58"/>
      <c r="M3" s="58"/>
      <c r="O3" s="58"/>
      <c r="P3" s="58"/>
    </row>
    <row r="4" spans="1:19">
      <c r="B4" s="58"/>
      <c r="C4" s="58"/>
      <c r="D4" t="s">
        <v>35</v>
      </c>
      <c r="G4" s="58"/>
      <c r="H4" s="58"/>
      <c r="I4" s="58"/>
      <c r="J4" s="58"/>
      <c r="K4" s="58"/>
      <c r="L4" s="58"/>
      <c r="M4" s="58"/>
      <c r="O4" s="58"/>
      <c r="P4" s="58"/>
    </row>
    <row r="5" spans="1:19">
      <c r="B5" s="58"/>
      <c r="C5" s="58"/>
      <c r="D5" t="s">
        <v>36</v>
      </c>
      <c r="G5" s="58"/>
      <c r="H5" s="58"/>
      <c r="I5" s="58"/>
      <c r="J5" s="58"/>
      <c r="K5" s="58"/>
      <c r="L5" s="58"/>
      <c r="M5" s="58"/>
      <c r="O5" s="58"/>
      <c r="P5" s="58"/>
    </row>
    <row r="6" spans="1:19">
      <c r="B6" s="58"/>
      <c r="C6" s="58"/>
      <c r="D6" t="s">
        <v>37</v>
      </c>
      <c r="G6" s="58"/>
      <c r="H6" s="58"/>
      <c r="I6" s="58"/>
      <c r="J6" s="58"/>
      <c r="K6" s="58"/>
      <c r="L6" s="58"/>
      <c r="M6" s="58"/>
      <c r="O6" s="58"/>
      <c r="P6" s="58"/>
    </row>
    <row r="7" spans="1:19">
      <c r="B7" s="58"/>
      <c r="C7" s="58"/>
      <c r="D7" t="s">
        <v>38</v>
      </c>
      <c r="G7" s="58"/>
      <c r="H7" s="58"/>
      <c r="I7" s="58"/>
      <c r="J7" s="58"/>
      <c r="K7" s="58"/>
      <c r="L7" s="58"/>
      <c r="M7" s="58"/>
      <c r="O7" s="58"/>
      <c r="P7" s="58"/>
    </row>
    <row r="8" spans="1:19">
      <c r="B8" s="58"/>
      <c r="C8" s="58"/>
      <c r="D8" t="s">
        <v>39</v>
      </c>
      <c r="G8" s="58"/>
      <c r="H8" s="58"/>
      <c r="I8" s="58"/>
      <c r="J8" s="58"/>
      <c r="K8" s="58"/>
      <c r="L8" s="58"/>
      <c r="M8" s="58"/>
      <c r="O8" s="58"/>
      <c r="P8" s="58"/>
    </row>
    <row r="9" spans="1:19">
      <c r="A9" t="s">
        <v>0</v>
      </c>
      <c r="B9" s="58"/>
      <c r="C9" s="58"/>
      <c r="G9" s="58"/>
      <c r="H9" s="58"/>
      <c r="I9" s="58"/>
      <c r="J9" s="58"/>
      <c r="K9" s="58"/>
      <c r="L9" s="58"/>
      <c r="M9" s="58"/>
      <c r="O9" s="58"/>
      <c r="P9" s="58"/>
    </row>
    <row r="10" spans="1:19">
      <c r="B10" s="58"/>
      <c r="C10" s="58"/>
    </row>
    <row r="11" spans="1:19">
      <c r="A11" t="s">
        <v>2</v>
      </c>
      <c r="B11" t="s">
        <v>132</v>
      </c>
      <c r="C11" s="58"/>
      <c r="D11" t="s">
        <v>4</v>
      </c>
      <c r="E11" t="s">
        <v>5</v>
      </c>
      <c r="G11" s="58" t="s">
        <v>130</v>
      </c>
      <c r="H11" s="58" t="s">
        <v>23</v>
      </c>
      <c r="I11" s="58" t="s">
        <v>129</v>
      </c>
      <c r="J11" s="58" t="s">
        <v>117</v>
      </c>
      <c r="K11" s="58" t="s">
        <v>118</v>
      </c>
      <c r="L11" s="58" t="s">
        <v>119</v>
      </c>
      <c r="M11" s="58" t="s">
        <v>120</v>
      </c>
      <c r="N11" t="s">
        <v>16</v>
      </c>
      <c r="O11" s="58" t="s">
        <v>126</v>
      </c>
      <c r="P11" s="58" t="s">
        <v>127</v>
      </c>
      <c r="Q11" t="s">
        <v>18</v>
      </c>
      <c r="R11" t="s">
        <v>19</v>
      </c>
      <c r="S11" t="s">
        <v>20</v>
      </c>
    </row>
    <row r="12" spans="1:19">
      <c r="B12" s="58">
        <v>589.66959999999995</v>
      </c>
      <c r="C12" s="58"/>
      <c r="D12">
        <v>1</v>
      </c>
      <c r="E12" t="s">
        <v>6</v>
      </c>
      <c r="G12" s="58">
        <v>7.20304096</v>
      </c>
      <c r="H12" s="58">
        <v>15.6</v>
      </c>
      <c r="I12" s="58">
        <v>0</v>
      </c>
      <c r="J12" s="58">
        <v>1.2473779999999999</v>
      </c>
      <c r="K12" s="58">
        <v>3.4019399999999998E-2</v>
      </c>
      <c r="L12" s="58">
        <v>2.2679600000000001E-2</v>
      </c>
      <c r="M12" s="58">
        <v>12.246983999999999</v>
      </c>
      <c r="N12">
        <v>58.9</v>
      </c>
      <c r="O12" s="58">
        <v>0.26308335999999999</v>
      </c>
      <c r="P12" s="58" t="s">
        <v>134</v>
      </c>
      <c r="Q12">
        <v>10.199999999999999</v>
      </c>
      <c r="R12">
        <v>0.28000000000000003</v>
      </c>
      <c r="S12">
        <v>0.19</v>
      </c>
    </row>
    <row r="13" spans="1:19">
      <c r="B13" s="58" t="s">
        <v>134</v>
      </c>
      <c r="C13" s="58"/>
      <c r="D13">
        <v>2</v>
      </c>
      <c r="E13" t="s">
        <v>6</v>
      </c>
      <c r="G13" s="58">
        <v>7.5840582399999992</v>
      </c>
      <c r="H13" s="58">
        <v>16.600000000000001</v>
      </c>
      <c r="I13" s="58">
        <v>0</v>
      </c>
      <c r="J13" s="58">
        <v>1.36984784</v>
      </c>
      <c r="K13" s="58">
        <v>3.7648135999999999E-2</v>
      </c>
      <c r="L13" s="58">
        <v>2.4947560000000001E-2</v>
      </c>
      <c r="M13" s="58">
        <v>12.6098576</v>
      </c>
      <c r="N13">
        <v>60.1</v>
      </c>
      <c r="O13" s="58">
        <v>0.27215519999999999</v>
      </c>
      <c r="P13" s="58" t="s">
        <v>134</v>
      </c>
      <c r="Q13">
        <v>10.9</v>
      </c>
      <c r="R13">
        <v>0.3</v>
      </c>
      <c r="S13">
        <v>0.2</v>
      </c>
    </row>
    <row r="14" spans="1:19">
      <c r="B14" s="58" t="s">
        <v>134</v>
      </c>
      <c r="C14" s="58"/>
      <c r="D14">
        <v>3</v>
      </c>
      <c r="E14" t="s">
        <v>6</v>
      </c>
      <c r="G14" s="58">
        <v>7.3935496000000001</v>
      </c>
      <c r="H14" s="58">
        <v>16.100000000000001</v>
      </c>
      <c r="I14" s="58">
        <v>0</v>
      </c>
      <c r="J14" s="58">
        <v>1.3063449599999999</v>
      </c>
      <c r="K14" s="58">
        <v>3.5833768000000002E-2</v>
      </c>
      <c r="L14" s="58">
        <v>2.3586784E-2</v>
      </c>
      <c r="M14" s="58">
        <v>12.4284208</v>
      </c>
      <c r="N14">
        <v>59.5</v>
      </c>
      <c r="O14" s="58">
        <v>0.26761927999999996</v>
      </c>
      <c r="P14" s="58" t="s">
        <v>134</v>
      </c>
      <c r="Q14">
        <v>10.5</v>
      </c>
      <c r="R14">
        <v>0.28999999999999998</v>
      </c>
      <c r="S14">
        <v>0.19</v>
      </c>
    </row>
    <row r="15" spans="1:19">
      <c r="B15" s="58" t="s">
        <v>134</v>
      </c>
      <c r="C15" s="58"/>
      <c r="D15">
        <v>4</v>
      </c>
      <c r="E15" t="s">
        <v>7</v>
      </c>
      <c r="G15" s="58">
        <v>6.9762449600000007</v>
      </c>
      <c r="H15" s="58">
        <v>15</v>
      </c>
      <c r="I15" s="58">
        <v>0</v>
      </c>
      <c r="J15" s="58">
        <v>1.1793392</v>
      </c>
      <c r="K15" s="58">
        <v>3.2205031999999995E-2</v>
      </c>
      <c r="L15" s="58">
        <v>2.1772415999999999E-2</v>
      </c>
      <c r="M15" s="58">
        <v>11.974828799999999</v>
      </c>
      <c r="N15">
        <v>58.2</v>
      </c>
      <c r="O15" s="58">
        <v>0.25854743999999996</v>
      </c>
      <c r="P15" s="58" t="s">
        <v>134</v>
      </c>
      <c r="Q15">
        <v>9.8000000000000007</v>
      </c>
      <c r="R15">
        <v>0.27</v>
      </c>
      <c r="S15">
        <v>0.18</v>
      </c>
    </row>
    <row r="16" spans="1:19">
      <c r="B16" s="58" t="s">
        <v>134</v>
      </c>
      <c r="C16" s="58"/>
      <c r="D16">
        <v>5</v>
      </c>
      <c r="E16" t="s">
        <v>7</v>
      </c>
      <c r="G16" s="58">
        <v>6.5952276799999998</v>
      </c>
      <c r="H16" s="58">
        <v>14</v>
      </c>
      <c r="I16" s="58">
        <v>0</v>
      </c>
      <c r="J16" s="58">
        <v>1.05233344</v>
      </c>
      <c r="K16" s="58">
        <v>2.8576296000000001E-2</v>
      </c>
      <c r="L16" s="58">
        <v>1.9504456E-2</v>
      </c>
      <c r="M16" s="58">
        <v>11.566596000000001</v>
      </c>
      <c r="N16">
        <v>56.9</v>
      </c>
      <c r="O16" s="58">
        <v>0.24947560000000002</v>
      </c>
      <c r="P16" s="58" t="s">
        <v>134</v>
      </c>
      <c r="Q16">
        <v>9.1</v>
      </c>
      <c r="R16">
        <v>0.25</v>
      </c>
      <c r="S16">
        <v>0.17</v>
      </c>
    </row>
    <row r="17" spans="1:19">
      <c r="B17" s="58" t="s">
        <v>134</v>
      </c>
      <c r="C17" s="58"/>
      <c r="D17">
        <v>6</v>
      </c>
      <c r="E17" t="s">
        <v>7</v>
      </c>
      <c r="G17" s="58">
        <v>6.2867851199999993</v>
      </c>
      <c r="H17" s="58">
        <v>13.2</v>
      </c>
      <c r="I17" s="58">
        <v>0</v>
      </c>
      <c r="J17" s="58">
        <v>0.95254320000000003</v>
      </c>
      <c r="K17" s="58">
        <v>2.5401152E-2</v>
      </c>
      <c r="L17" s="58">
        <v>1.7690088E-2</v>
      </c>
      <c r="M17" s="58">
        <v>11.2490816</v>
      </c>
      <c r="N17">
        <v>55.9</v>
      </c>
      <c r="O17" s="58">
        <v>0.24040376000000002</v>
      </c>
      <c r="P17" s="58" t="s">
        <v>134</v>
      </c>
      <c r="Q17">
        <v>8.5</v>
      </c>
      <c r="R17">
        <v>0.23</v>
      </c>
      <c r="S17">
        <v>0.16</v>
      </c>
    </row>
    <row r="18" spans="1:19">
      <c r="B18" s="58" t="s">
        <v>134</v>
      </c>
      <c r="C18" s="58"/>
      <c r="D18">
        <v>7</v>
      </c>
      <c r="E18" t="s">
        <v>8</v>
      </c>
      <c r="G18" s="58">
        <v>6.0872046399999995</v>
      </c>
      <c r="H18" s="58">
        <v>12.7</v>
      </c>
      <c r="I18" s="58">
        <v>0</v>
      </c>
      <c r="J18" s="58">
        <v>0.87543255999999992</v>
      </c>
      <c r="K18" s="58">
        <v>2.3133191999999997E-2</v>
      </c>
      <c r="L18" s="58">
        <v>1.6329311999999999E-2</v>
      </c>
      <c r="M18" s="58">
        <v>11.0222856</v>
      </c>
      <c r="N18">
        <v>55.3</v>
      </c>
      <c r="O18" s="58">
        <v>0.23586784</v>
      </c>
      <c r="P18" s="58" t="s">
        <v>134</v>
      </c>
      <c r="Q18">
        <v>8</v>
      </c>
      <c r="R18">
        <v>0.21</v>
      </c>
      <c r="S18">
        <v>0.15</v>
      </c>
    </row>
    <row r="19" spans="1:19">
      <c r="B19" s="58" t="s">
        <v>134</v>
      </c>
      <c r="C19" s="58"/>
      <c r="D19">
        <v>8</v>
      </c>
      <c r="E19" t="s">
        <v>8</v>
      </c>
      <c r="G19" s="58">
        <v>4.98497608</v>
      </c>
      <c r="H19" s="58">
        <v>9.5</v>
      </c>
      <c r="I19" s="58">
        <v>0</v>
      </c>
      <c r="J19" s="58">
        <v>0.68945984000000005</v>
      </c>
      <c r="K19" s="58">
        <v>1.7236496E-2</v>
      </c>
      <c r="L19" s="58">
        <v>1.3154168000000001E-2</v>
      </c>
      <c r="M19" s="58">
        <v>10.160460799999999</v>
      </c>
      <c r="N19">
        <v>49</v>
      </c>
      <c r="O19" s="58">
        <v>0.19050863999999998</v>
      </c>
      <c r="P19" s="58" t="s">
        <v>134</v>
      </c>
      <c r="Q19">
        <v>6.8</v>
      </c>
      <c r="R19">
        <v>0.17</v>
      </c>
      <c r="S19">
        <v>0.13</v>
      </c>
    </row>
    <row r="20" spans="1:19">
      <c r="B20" s="58" t="s">
        <v>134</v>
      </c>
      <c r="C20" s="58"/>
      <c r="D20">
        <v>9</v>
      </c>
      <c r="E20" t="s">
        <v>8</v>
      </c>
      <c r="G20" s="58">
        <v>5.10744592</v>
      </c>
      <c r="H20" s="58">
        <v>9.9</v>
      </c>
      <c r="I20" s="58">
        <v>0</v>
      </c>
      <c r="J20" s="58">
        <v>0.71667535999999998</v>
      </c>
      <c r="K20" s="58">
        <v>1.7236496E-2</v>
      </c>
      <c r="L20" s="58">
        <v>1.3154168000000001E-2</v>
      </c>
      <c r="M20" s="58">
        <v>10.205819999999999</v>
      </c>
      <c r="N20">
        <v>50</v>
      </c>
      <c r="O20" s="58">
        <v>0.19958048</v>
      </c>
      <c r="P20" s="58" t="s">
        <v>134</v>
      </c>
      <c r="Q20">
        <v>7</v>
      </c>
      <c r="R20">
        <v>0.17</v>
      </c>
      <c r="S20">
        <v>0.13</v>
      </c>
    </row>
    <row r="21" spans="1:19">
      <c r="B21" s="58" t="s">
        <v>134</v>
      </c>
      <c r="C21" s="58"/>
      <c r="D21">
        <v>10</v>
      </c>
      <c r="E21" t="s">
        <v>9</v>
      </c>
      <c r="G21" s="58">
        <v>5.3523855999999999</v>
      </c>
      <c r="H21" s="58">
        <v>10.7</v>
      </c>
      <c r="I21" s="58">
        <v>0</v>
      </c>
      <c r="J21" s="58">
        <v>0.76203455999999992</v>
      </c>
      <c r="K21" s="58">
        <v>2.9029888E-2</v>
      </c>
      <c r="L21" s="58">
        <v>1.8143679999999999E-2</v>
      </c>
      <c r="M21" s="58">
        <v>10.296538399999999</v>
      </c>
      <c r="N21">
        <v>52</v>
      </c>
      <c r="O21" s="58">
        <v>0.21318823999999997</v>
      </c>
      <c r="P21" s="58" t="s">
        <v>134</v>
      </c>
      <c r="Q21">
        <v>7.4</v>
      </c>
      <c r="R21">
        <v>0.28000000000000003</v>
      </c>
      <c r="S21">
        <v>0.17</v>
      </c>
    </row>
    <row r="22" spans="1:19">
      <c r="B22" s="58" t="s">
        <v>134</v>
      </c>
      <c r="C22" s="58"/>
      <c r="D22">
        <v>11</v>
      </c>
      <c r="E22" t="s">
        <v>9</v>
      </c>
      <c r="G22" s="58">
        <v>5.7107232799999998</v>
      </c>
      <c r="H22" s="58">
        <v>11.8</v>
      </c>
      <c r="I22" s="58">
        <v>0</v>
      </c>
      <c r="J22" s="58">
        <v>0.83460928000000001</v>
      </c>
      <c r="K22" s="58">
        <v>2.9029888E-2</v>
      </c>
      <c r="L22" s="58">
        <v>1.8143679999999999E-2</v>
      </c>
      <c r="M22" s="58">
        <v>10.477975200000001</v>
      </c>
      <c r="N22">
        <v>54.5</v>
      </c>
      <c r="O22" s="58">
        <v>0.23133192</v>
      </c>
      <c r="P22" s="58" t="s">
        <v>134</v>
      </c>
      <c r="Q22">
        <v>8</v>
      </c>
      <c r="R22">
        <v>0.27</v>
      </c>
      <c r="S22">
        <v>0.17</v>
      </c>
    </row>
    <row r="23" spans="1:19">
      <c r="B23" s="58" t="s">
        <v>134</v>
      </c>
      <c r="C23" s="58"/>
      <c r="D23">
        <v>12</v>
      </c>
      <c r="E23" t="s">
        <v>9</v>
      </c>
      <c r="G23" s="58">
        <v>6.2777132799999995</v>
      </c>
      <c r="H23" s="58">
        <v>13.5</v>
      </c>
      <c r="I23" s="58">
        <v>0</v>
      </c>
      <c r="J23" s="58">
        <v>0.95707911999999995</v>
      </c>
      <c r="K23" s="58">
        <v>2.9029888E-2</v>
      </c>
      <c r="L23" s="58">
        <v>1.8143679999999999E-2</v>
      </c>
      <c r="M23" s="58">
        <v>10.7954896</v>
      </c>
      <c r="N23">
        <v>58.1</v>
      </c>
      <c r="O23" s="58">
        <v>0.25854743999999996</v>
      </c>
      <c r="P23" s="58" t="s">
        <v>134</v>
      </c>
      <c r="Q23">
        <v>8.8000000000000007</v>
      </c>
      <c r="R23">
        <v>0.27</v>
      </c>
      <c r="S23">
        <v>0.17</v>
      </c>
    </row>
    <row r="24" spans="1:19">
      <c r="B24" s="58" t="s">
        <v>134</v>
      </c>
      <c r="C24" s="58"/>
      <c r="G24" s="58"/>
      <c r="H24" s="58"/>
      <c r="I24" s="58"/>
      <c r="J24" s="58"/>
      <c r="K24" s="58"/>
      <c r="L24" s="58"/>
      <c r="M24" s="58"/>
      <c r="O24" s="58"/>
      <c r="P24" s="58"/>
    </row>
    <row r="25" spans="1:19">
      <c r="B25" s="58" t="s">
        <v>134</v>
      </c>
      <c r="C25" s="58"/>
      <c r="G25" s="58"/>
      <c r="H25" s="58"/>
      <c r="I25" s="58"/>
      <c r="J25" s="58"/>
      <c r="K25" s="58"/>
      <c r="L25" s="58"/>
    </row>
    <row r="26" spans="1:19">
      <c r="A26" t="s">
        <v>22</v>
      </c>
      <c r="B26" s="58" t="s">
        <v>132</v>
      </c>
      <c r="C26" s="58"/>
      <c r="D26" t="s">
        <v>4</v>
      </c>
      <c r="E26" t="s">
        <v>5</v>
      </c>
      <c r="G26" s="58" t="s">
        <v>130</v>
      </c>
      <c r="H26" s="58" t="s">
        <v>23</v>
      </c>
      <c r="I26" s="58" t="s">
        <v>129</v>
      </c>
      <c r="J26" s="58" t="s">
        <v>117</v>
      </c>
      <c r="K26" s="58" t="s">
        <v>118</v>
      </c>
      <c r="L26" s="58" t="s">
        <v>119</v>
      </c>
      <c r="M26" s="58" t="s">
        <v>120</v>
      </c>
      <c r="N26" t="s">
        <v>16</v>
      </c>
      <c r="O26" s="58" t="s">
        <v>126</v>
      </c>
      <c r="P26" s="58" t="s">
        <v>127</v>
      </c>
      <c r="Q26" t="s">
        <v>18</v>
      </c>
      <c r="R26" t="s">
        <v>19</v>
      </c>
      <c r="S26" t="s">
        <v>20</v>
      </c>
    </row>
    <row r="27" spans="1:19">
      <c r="B27" s="58">
        <v>462.66383999999999</v>
      </c>
      <c r="C27" s="58"/>
      <c r="D27">
        <v>1</v>
      </c>
      <c r="E27" t="s">
        <v>6</v>
      </c>
      <c r="G27" s="58">
        <v>6.77666448</v>
      </c>
      <c r="H27" s="58">
        <v>14.8</v>
      </c>
      <c r="I27" s="58">
        <v>0.13607759999999999</v>
      </c>
      <c r="J27" s="58">
        <v>1.0205820000000001</v>
      </c>
      <c r="K27" s="58">
        <v>2.7669111999999999E-2</v>
      </c>
      <c r="L27" s="58">
        <v>1.8143679999999999E-2</v>
      </c>
      <c r="M27" s="58">
        <v>10.5686936</v>
      </c>
      <c r="N27">
        <v>64</v>
      </c>
      <c r="O27" s="58">
        <v>0.29937072000000003</v>
      </c>
      <c r="P27" s="58">
        <v>0.17690088000000001</v>
      </c>
      <c r="Q27">
        <v>9.6999999999999993</v>
      </c>
      <c r="R27">
        <v>0.26</v>
      </c>
      <c r="S27">
        <v>0.17</v>
      </c>
    </row>
    <row r="28" spans="1:19">
      <c r="B28" s="58" t="s">
        <v>134</v>
      </c>
      <c r="C28" s="58"/>
      <c r="D28">
        <v>2</v>
      </c>
      <c r="E28" t="s">
        <v>6</v>
      </c>
      <c r="G28" s="58">
        <v>7.0851070399999996</v>
      </c>
      <c r="H28" s="58">
        <v>15.6</v>
      </c>
      <c r="I28" s="58">
        <v>0.13607759999999999</v>
      </c>
      <c r="J28" s="58">
        <v>1.1158363199999999</v>
      </c>
      <c r="K28" s="58">
        <v>3.0390664000000001E-2</v>
      </c>
      <c r="L28" s="58">
        <v>1.9504456E-2</v>
      </c>
      <c r="M28" s="58">
        <v>10.9315672</v>
      </c>
      <c r="N28">
        <v>64.900000000000006</v>
      </c>
      <c r="O28" s="58">
        <v>0.30390664000000001</v>
      </c>
      <c r="P28" s="58">
        <v>0.17690088000000001</v>
      </c>
      <c r="Q28">
        <v>10.199999999999999</v>
      </c>
      <c r="R28">
        <v>0.28000000000000003</v>
      </c>
      <c r="S28">
        <v>0.18</v>
      </c>
    </row>
    <row r="29" spans="1:19">
      <c r="B29" s="58" t="s">
        <v>134</v>
      </c>
      <c r="C29" s="58"/>
      <c r="D29">
        <v>3</v>
      </c>
      <c r="E29" t="s">
        <v>6</v>
      </c>
      <c r="G29" s="58">
        <v>6.9807808800000002</v>
      </c>
      <c r="H29" s="58">
        <v>15.3</v>
      </c>
      <c r="I29" s="58">
        <v>0.13607759999999999</v>
      </c>
      <c r="J29" s="58">
        <v>1.0659411999999999</v>
      </c>
      <c r="K29" s="58">
        <v>2.9029888E-2</v>
      </c>
      <c r="L29" s="58">
        <v>1.8597272000000001E-2</v>
      </c>
      <c r="M29" s="58">
        <v>10.7954896</v>
      </c>
      <c r="N29">
        <v>64.599999999999994</v>
      </c>
      <c r="O29" s="58">
        <v>0.29937072000000003</v>
      </c>
      <c r="P29" s="58">
        <v>0.17690088000000001</v>
      </c>
      <c r="Q29">
        <v>9.9</v>
      </c>
      <c r="R29">
        <v>0.27</v>
      </c>
      <c r="S29">
        <v>0.17</v>
      </c>
    </row>
    <row r="30" spans="1:19">
      <c r="B30" s="58" t="s">
        <v>134</v>
      </c>
      <c r="C30" s="58"/>
      <c r="D30">
        <v>4</v>
      </c>
      <c r="E30" t="s">
        <v>7</v>
      </c>
      <c r="G30" s="58">
        <v>6.6768742400000001</v>
      </c>
      <c r="H30" s="58">
        <v>14.5</v>
      </c>
      <c r="I30" s="58">
        <v>0.13607759999999999</v>
      </c>
      <c r="J30" s="58">
        <v>0.97975872000000008</v>
      </c>
      <c r="K30" s="58">
        <v>2.6308336000000002E-2</v>
      </c>
      <c r="L30" s="58">
        <v>1.7236496E-2</v>
      </c>
      <c r="M30" s="58">
        <v>10.5233344</v>
      </c>
      <c r="N30">
        <v>63.5</v>
      </c>
      <c r="O30" s="58">
        <v>0.29483480000000001</v>
      </c>
      <c r="P30" s="58">
        <v>0.17690088000000001</v>
      </c>
      <c r="Q30">
        <v>9.3000000000000007</v>
      </c>
      <c r="R30">
        <v>0.25</v>
      </c>
      <c r="S30">
        <v>0.16</v>
      </c>
    </row>
    <row r="31" spans="1:19">
      <c r="B31" s="58" t="s">
        <v>134</v>
      </c>
      <c r="C31" s="58"/>
      <c r="D31">
        <v>5</v>
      </c>
      <c r="E31" t="s">
        <v>7</v>
      </c>
      <c r="G31" s="58">
        <v>6.4137908800000005</v>
      </c>
      <c r="H31" s="58">
        <v>13.8</v>
      </c>
      <c r="I31" s="58">
        <v>0.13607759999999999</v>
      </c>
      <c r="J31" s="58">
        <v>0.88904032</v>
      </c>
      <c r="K31" s="58">
        <v>2.3586784E-2</v>
      </c>
      <c r="L31" s="58">
        <v>1.5875720000000003E-2</v>
      </c>
      <c r="M31" s="58">
        <v>10.251179200000001</v>
      </c>
      <c r="N31">
        <v>62.6</v>
      </c>
      <c r="O31" s="58">
        <v>0.28576296000000001</v>
      </c>
      <c r="P31" s="58">
        <v>0.17690088000000001</v>
      </c>
      <c r="Q31">
        <v>8.6999999999999993</v>
      </c>
      <c r="R31">
        <v>0.23</v>
      </c>
      <c r="S31">
        <v>0.15</v>
      </c>
    </row>
    <row r="32" spans="1:19">
      <c r="B32" s="58" t="s">
        <v>134</v>
      </c>
      <c r="C32" s="58"/>
      <c r="D32">
        <v>6</v>
      </c>
      <c r="E32" t="s">
        <v>7</v>
      </c>
      <c r="G32" s="58">
        <v>6.2187463200000002</v>
      </c>
      <c r="H32" s="58">
        <v>13.3</v>
      </c>
      <c r="I32" s="58">
        <v>0.13607759999999999</v>
      </c>
      <c r="J32" s="58">
        <v>0.81192967999999999</v>
      </c>
      <c r="K32" s="58">
        <v>2.1318824E-2</v>
      </c>
      <c r="L32" s="58">
        <v>1.4514944E-2</v>
      </c>
      <c r="M32" s="58">
        <v>10.024383200000001</v>
      </c>
      <c r="N32">
        <v>62</v>
      </c>
      <c r="O32" s="58">
        <v>0.28576296000000001</v>
      </c>
      <c r="P32" s="58">
        <v>0.17690088000000001</v>
      </c>
      <c r="Q32">
        <v>8.1</v>
      </c>
      <c r="R32">
        <v>0.21</v>
      </c>
      <c r="S32">
        <v>0.14000000000000001</v>
      </c>
    </row>
    <row r="33" spans="1:19">
      <c r="B33" s="58" t="s">
        <v>134</v>
      </c>
      <c r="C33" s="58"/>
      <c r="D33">
        <v>7</v>
      </c>
      <c r="E33" t="s">
        <v>8</v>
      </c>
      <c r="G33" s="58">
        <v>6.0690609600000007</v>
      </c>
      <c r="H33" s="58">
        <v>12.9</v>
      </c>
      <c r="I33" s="58">
        <v>0.13607759999999999</v>
      </c>
      <c r="J33" s="58">
        <v>0.75749864</v>
      </c>
      <c r="K33" s="58">
        <v>1.9504456E-2</v>
      </c>
      <c r="L33" s="58">
        <v>1.360776E-2</v>
      </c>
      <c r="M33" s="58">
        <v>9.8883056000000007</v>
      </c>
      <c r="N33">
        <v>61.4</v>
      </c>
      <c r="O33" s="58">
        <v>0.28122703999999998</v>
      </c>
      <c r="P33" s="58">
        <v>0.17690088000000001</v>
      </c>
      <c r="Q33">
        <v>7.7</v>
      </c>
      <c r="R33">
        <v>0.2</v>
      </c>
      <c r="S33">
        <v>0.14000000000000001</v>
      </c>
    </row>
    <row r="34" spans="1:19">
      <c r="B34" s="58" t="s">
        <v>134</v>
      </c>
      <c r="C34" s="58"/>
      <c r="D34">
        <v>8</v>
      </c>
      <c r="E34" t="s">
        <v>8</v>
      </c>
      <c r="G34" s="58">
        <v>4.4678811999999999</v>
      </c>
      <c r="H34" s="58">
        <v>8.1</v>
      </c>
      <c r="I34" s="58">
        <v>0.13607759999999999</v>
      </c>
      <c r="J34" s="58">
        <v>0.6259569599999999</v>
      </c>
      <c r="K34" s="58">
        <v>1.5422128E-2</v>
      </c>
      <c r="L34" s="58">
        <v>1.1339800000000001E-2</v>
      </c>
      <c r="M34" s="58">
        <v>8.7996847999999996</v>
      </c>
      <c r="N34">
        <v>50.8</v>
      </c>
      <c r="O34" s="58">
        <v>0.2041164</v>
      </c>
      <c r="P34" s="58">
        <v>0.17690088000000001</v>
      </c>
      <c r="Q34">
        <v>7.1</v>
      </c>
      <c r="R34">
        <v>0.17</v>
      </c>
      <c r="S34">
        <v>0.13</v>
      </c>
    </row>
    <row r="35" spans="1:19">
      <c r="B35" s="58" t="s">
        <v>134</v>
      </c>
      <c r="C35" s="58"/>
      <c r="D35">
        <v>9</v>
      </c>
      <c r="E35" t="s">
        <v>8</v>
      </c>
      <c r="G35" s="58">
        <v>4.5858151199999995</v>
      </c>
      <c r="H35" s="58">
        <v>8.5</v>
      </c>
      <c r="I35" s="58">
        <v>0.13607759999999999</v>
      </c>
      <c r="J35" s="58">
        <v>0.64863655999999992</v>
      </c>
      <c r="K35" s="58">
        <v>1.5422128E-2</v>
      </c>
      <c r="L35" s="58">
        <v>1.1339800000000001E-2</v>
      </c>
      <c r="M35" s="58">
        <v>8.8450439999999997</v>
      </c>
      <c r="N35">
        <v>51.7</v>
      </c>
      <c r="O35" s="58">
        <v>0.21318823999999997</v>
      </c>
      <c r="P35" s="58">
        <v>0.17690088000000001</v>
      </c>
      <c r="Q35">
        <v>7.3</v>
      </c>
      <c r="R35">
        <v>0.17</v>
      </c>
      <c r="S35">
        <v>0.13</v>
      </c>
    </row>
    <row r="36" spans="1:19">
      <c r="B36" s="58" t="s">
        <v>134</v>
      </c>
      <c r="C36" s="58"/>
      <c r="D36">
        <v>10</v>
      </c>
      <c r="E36" t="s">
        <v>9</v>
      </c>
      <c r="G36" s="58">
        <v>4.7990033600000004</v>
      </c>
      <c r="H36" s="58">
        <v>9.1999999999999993</v>
      </c>
      <c r="I36" s="58">
        <v>0.13607759999999999</v>
      </c>
      <c r="J36" s="58">
        <v>0.68945984000000005</v>
      </c>
      <c r="K36" s="58">
        <v>2.4947560000000001E-2</v>
      </c>
      <c r="L36" s="58">
        <v>1.4968536000000001E-2</v>
      </c>
      <c r="M36" s="58">
        <v>8.9811215999999998</v>
      </c>
      <c r="N36">
        <v>53.4</v>
      </c>
      <c r="O36" s="58">
        <v>0.22226008</v>
      </c>
      <c r="P36" s="58">
        <v>0.17690088000000001</v>
      </c>
      <c r="Q36">
        <v>7.7</v>
      </c>
      <c r="R36">
        <v>0.28000000000000003</v>
      </c>
      <c r="S36">
        <v>0.17</v>
      </c>
    </row>
    <row r="37" spans="1:19">
      <c r="B37" s="58" t="s">
        <v>134</v>
      </c>
      <c r="C37" s="58"/>
      <c r="D37">
        <v>11</v>
      </c>
      <c r="E37" t="s">
        <v>9</v>
      </c>
      <c r="G37" s="58">
        <v>5.1165177599999998</v>
      </c>
      <c r="H37" s="58">
        <v>10.199999999999999</v>
      </c>
      <c r="I37" s="58">
        <v>0.13607759999999999</v>
      </c>
      <c r="J37" s="58">
        <v>0.75296271999999997</v>
      </c>
      <c r="K37" s="58">
        <v>2.4947560000000001E-2</v>
      </c>
      <c r="L37" s="58">
        <v>1.4968536000000001E-2</v>
      </c>
      <c r="M37" s="58">
        <v>9.1625584</v>
      </c>
      <c r="N37">
        <v>55.8</v>
      </c>
      <c r="O37" s="58">
        <v>0.24040376000000002</v>
      </c>
      <c r="P37" s="58">
        <v>0.17690088000000001</v>
      </c>
      <c r="Q37">
        <v>8.1999999999999993</v>
      </c>
      <c r="R37">
        <v>0.27</v>
      </c>
      <c r="S37">
        <v>0.16</v>
      </c>
    </row>
    <row r="38" spans="1:19">
      <c r="B38" s="58" t="s">
        <v>134</v>
      </c>
      <c r="C38" s="58"/>
      <c r="D38">
        <v>12</v>
      </c>
      <c r="E38" t="s">
        <v>9</v>
      </c>
      <c r="G38" s="58">
        <v>5.5655738399999999</v>
      </c>
      <c r="H38" s="58">
        <v>11.6</v>
      </c>
      <c r="I38" s="58">
        <v>0.13607759999999999</v>
      </c>
      <c r="J38" s="58">
        <v>0.85275295999999989</v>
      </c>
      <c r="K38" s="58">
        <v>2.4947560000000001E-2</v>
      </c>
      <c r="L38" s="58">
        <v>1.4968536000000001E-2</v>
      </c>
      <c r="M38" s="58">
        <v>9.4800727999999985</v>
      </c>
      <c r="N38">
        <v>58.8</v>
      </c>
      <c r="O38" s="58">
        <v>0.26308335999999999</v>
      </c>
      <c r="P38" s="58">
        <v>0.17690088000000001</v>
      </c>
      <c r="Q38">
        <v>9</v>
      </c>
      <c r="R38">
        <v>0.26</v>
      </c>
      <c r="S38">
        <v>0.16</v>
      </c>
    </row>
    <row r="39" spans="1:19">
      <c r="B39" s="58" t="s">
        <v>134</v>
      </c>
      <c r="C39" s="58"/>
      <c r="G39" s="58">
        <v>0</v>
      </c>
      <c r="H39" s="58">
        <v>0</v>
      </c>
      <c r="I39" s="58">
        <v>0</v>
      </c>
      <c r="J39" s="58">
        <v>0</v>
      </c>
      <c r="K39" s="58">
        <v>0</v>
      </c>
      <c r="L39" s="58">
        <v>0</v>
      </c>
      <c r="M39" s="58"/>
      <c r="O39" s="58"/>
      <c r="P39" s="58"/>
    </row>
    <row r="40" spans="1:19">
      <c r="B40" s="58" t="s">
        <v>134</v>
      </c>
      <c r="C40" s="58"/>
      <c r="G40" s="58" t="e">
        <v>#VALUE!</v>
      </c>
      <c r="H40" s="58">
        <v>0</v>
      </c>
      <c r="I40" s="58">
        <v>0</v>
      </c>
      <c r="J40" s="58">
        <v>0</v>
      </c>
      <c r="K40" s="58">
        <v>0</v>
      </c>
      <c r="L40" s="58">
        <v>0</v>
      </c>
    </row>
    <row r="41" spans="1:19">
      <c r="A41" t="s">
        <v>25</v>
      </c>
      <c r="B41" s="58" t="s">
        <v>132</v>
      </c>
      <c r="C41" s="58"/>
      <c r="D41" t="s">
        <v>26</v>
      </c>
      <c r="F41" t="s">
        <v>131</v>
      </c>
      <c r="G41" s="58" t="s">
        <v>130</v>
      </c>
      <c r="H41" s="58" t="s">
        <v>23</v>
      </c>
      <c r="I41" s="58" t="s">
        <v>129</v>
      </c>
      <c r="J41" s="58" t="s">
        <v>117</v>
      </c>
      <c r="K41" s="58" t="s">
        <v>118</v>
      </c>
      <c r="L41" s="58" t="s">
        <v>119</v>
      </c>
      <c r="M41" s="58" t="s">
        <v>120</v>
      </c>
      <c r="N41" t="s">
        <v>16</v>
      </c>
      <c r="O41" s="58" t="s">
        <v>126</v>
      </c>
      <c r="P41" s="58" t="s">
        <v>127</v>
      </c>
      <c r="Q41" t="s">
        <v>18</v>
      </c>
      <c r="R41" t="s">
        <v>19</v>
      </c>
      <c r="S41" t="s">
        <v>20</v>
      </c>
    </row>
    <row r="42" spans="1:19">
      <c r="B42" s="58">
        <v>589.66959999999995</v>
      </c>
      <c r="C42" s="58"/>
      <c r="D42">
        <v>1</v>
      </c>
      <c r="F42">
        <v>370.13107200000002</v>
      </c>
      <c r="G42" s="58">
        <v>4.5676714399999998</v>
      </c>
      <c r="H42" s="58">
        <v>6.6</v>
      </c>
      <c r="I42" s="58">
        <v>0.86182479999999995</v>
      </c>
      <c r="J42" s="58">
        <v>0.69853167999999999</v>
      </c>
      <c r="K42" s="58">
        <v>2.2226008000000002E-2</v>
      </c>
      <c r="L42" s="58">
        <v>1.2700576E-2</v>
      </c>
      <c r="M42" s="58">
        <v>7.7110640000000004</v>
      </c>
      <c r="N42">
        <v>59.4</v>
      </c>
      <c r="O42" s="58">
        <v>0.26761927999999996</v>
      </c>
      <c r="P42" s="58">
        <v>0.14968536000000002</v>
      </c>
      <c r="Q42">
        <v>9.1</v>
      </c>
      <c r="R42">
        <v>0.28999999999999998</v>
      </c>
      <c r="S42">
        <v>0.17</v>
      </c>
    </row>
    <row r="43" spans="1:19">
      <c r="B43" s="58" t="s">
        <v>134</v>
      </c>
      <c r="C43" s="58"/>
      <c r="D43">
        <v>2</v>
      </c>
      <c r="F43" t="s">
        <v>134</v>
      </c>
      <c r="G43" s="58">
        <v>4.7400363999999993</v>
      </c>
      <c r="H43" s="58">
        <v>6.9</v>
      </c>
      <c r="I43" s="58">
        <v>0.86182479999999995</v>
      </c>
      <c r="J43" s="58">
        <v>0.71213944000000007</v>
      </c>
      <c r="K43" s="58">
        <v>2.2226008000000002E-2</v>
      </c>
      <c r="L43" s="58">
        <v>1.3154168000000001E-2</v>
      </c>
      <c r="M43" s="58">
        <v>7.9378599999999997</v>
      </c>
      <c r="N43">
        <v>59.6</v>
      </c>
      <c r="O43" s="58">
        <v>0.26761927999999996</v>
      </c>
      <c r="P43" s="58">
        <v>0.14968536000000002</v>
      </c>
      <c r="Q43">
        <v>8.9</v>
      </c>
      <c r="R43">
        <v>0.28000000000000003</v>
      </c>
      <c r="S43">
        <v>0.16</v>
      </c>
    </row>
    <row r="44" spans="1:19">
      <c r="B44" s="58" t="s">
        <v>134</v>
      </c>
      <c r="C44" s="58"/>
      <c r="D44">
        <v>3</v>
      </c>
      <c r="F44" t="s">
        <v>134</v>
      </c>
      <c r="G44" s="58">
        <v>4.8761140000000003</v>
      </c>
      <c r="H44" s="58">
        <v>7.1</v>
      </c>
      <c r="I44" s="58">
        <v>0.90718399999999999</v>
      </c>
      <c r="J44" s="58">
        <v>0.72574720000000004</v>
      </c>
      <c r="K44" s="58">
        <v>2.2679600000000001E-2</v>
      </c>
      <c r="L44" s="58">
        <v>1.3154168000000001E-2</v>
      </c>
      <c r="M44" s="58">
        <v>8.1646560000000008</v>
      </c>
      <c r="N44">
        <v>59.6</v>
      </c>
      <c r="O44" s="58">
        <v>0.26761927999999996</v>
      </c>
      <c r="P44" s="58">
        <v>0.14968536000000002</v>
      </c>
      <c r="Q44">
        <v>8.8000000000000007</v>
      </c>
      <c r="R44">
        <v>0.28000000000000003</v>
      </c>
      <c r="S44">
        <v>0.16</v>
      </c>
    </row>
    <row r="45" spans="1:19">
      <c r="B45" s="58" t="s">
        <v>134</v>
      </c>
      <c r="C45" s="58"/>
      <c r="D45">
        <v>4</v>
      </c>
      <c r="F45" t="s">
        <v>134</v>
      </c>
      <c r="G45" s="58">
        <v>5.0711585599999998</v>
      </c>
      <c r="H45" s="58">
        <v>7.5</v>
      </c>
      <c r="I45" s="58">
        <v>0.90718399999999999</v>
      </c>
      <c r="J45" s="58">
        <v>0.73935495999999989</v>
      </c>
      <c r="K45" s="58">
        <v>2.2679600000000001E-2</v>
      </c>
      <c r="L45" s="58">
        <v>1.360776E-2</v>
      </c>
      <c r="M45" s="58">
        <v>8.4368112000000011</v>
      </c>
      <c r="N45">
        <v>60</v>
      </c>
      <c r="O45" s="58">
        <v>0.26761927999999996</v>
      </c>
      <c r="P45" s="58">
        <v>0.14968536000000002</v>
      </c>
      <c r="Q45">
        <v>8.8000000000000007</v>
      </c>
      <c r="R45">
        <v>0.27</v>
      </c>
      <c r="S45">
        <v>0.16</v>
      </c>
    </row>
    <row r="46" spans="1:19">
      <c r="B46" s="58" t="s">
        <v>134</v>
      </c>
      <c r="C46" s="58"/>
      <c r="D46">
        <v>5</v>
      </c>
      <c r="F46" t="s">
        <v>134</v>
      </c>
      <c r="G46" s="58">
        <v>5.2616671999999998</v>
      </c>
      <c r="H46" s="58">
        <v>7.9</v>
      </c>
      <c r="I46" s="58">
        <v>0.95254320000000003</v>
      </c>
      <c r="J46" s="58">
        <v>0.76657047999999994</v>
      </c>
      <c r="K46" s="58">
        <v>2.3133191999999997E-2</v>
      </c>
      <c r="L46" s="58">
        <v>1.4061351999999999E-2</v>
      </c>
      <c r="M46" s="58">
        <v>8.7089663999999996</v>
      </c>
      <c r="N46">
        <v>60.3</v>
      </c>
      <c r="O46" s="58">
        <v>0.27215519999999999</v>
      </c>
      <c r="P46" s="58">
        <v>0.15422128000000002</v>
      </c>
      <c r="Q46">
        <v>8.8000000000000007</v>
      </c>
      <c r="R46">
        <v>0.26</v>
      </c>
      <c r="S46">
        <v>0.16</v>
      </c>
    </row>
    <row r="47" spans="1:19">
      <c r="B47" s="58" t="s">
        <v>134</v>
      </c>
      <c r="C47" s="58"/>
      <c r="D47">
        <v>6</v>
      </c>
      <c r="F47" t="s">
        <v>134</v>
      </c>
      <c r="G47" s="58">
        <v>5.5020709600000002</v>
      </c>
      <c r="H47" s="58">
        <v>8.5</v>
      </c>
      <c r="I47" s="58">
        <v>0.95254320000000003</v>
      </c>
      <c r="J47" s="58">
        <v>0.79832192000000002</v>
      </c>
      <c r="K47" s="58">
        <v>2.3586784E-2</v>
      </c>
      <c r="L47" s="58">
        <v>1.4061351999999999E-2</v>
      </c>
      <c r="M47" s="58">
        <v>9.0264807999999999</v>
      </c>
      <c r="N47">
        <v>61</v>
      </c>
      <c r="O47" s="58">
        <v>0.27669112000000001</v>
      </c>
      <c r="P47" s="58">
        <v>0.15875719999999999</v>
      </c>
      <c r="Q47">
        <v>8.9</v>
      </c>
      <c r="R47">
        <v>0.26</v>
      </c>
      <c r="S47">
        <v>0.16</v>
      </c>
    </row>
    <row r="48" spans="1:19">
      <c r="B48" s="58" t="s">
        <v>134</v>
      </c>
      <c r="C48" s="58"/>
      <c r="D48">
        <v>7</v>
      </c>
      <c r="F48" t="s">
        <v>134</v>
      </c>
      <c r="G48" s="58">
        <v>5.7878339199999997</v>
      </c>
      <c r="H48" s="58">
        <v>9.3000000000000007</v>
      </c>
      <c r="I48" s="58">
        <v>0.95254320000000003</v>
      </c>
      <c r="J48" s="58">
        <v>0.85275295999999989</v>
      </c>
      <c r="K48" s="58">
        <v>3.3565807999999996E-2</v>
      </c>
      <c r="L48" s="58">
        <v>1.8597272000000001E-2</v>
      </c>
      <c r="M48" s="58">
        <v>9.3439952000000002</v>
      </c>
      <c r="N48">
        <v>62</v>
      </c>
      <c r="O48" s="58">
        <v>0.28576296000000001</v>
      </c>
      <c r="P48" s="58">
        <v>0.16329311999999999</v>
      </c>
      <c r="Q48">
        <v>9.1</v>
      </c>
      <c r="R48">
        <v>0.36</v>
      </c>
      <c r="S48">
        <v>0.2</v>
      </c>
    </row>
    <row r="49" spans="1:19">
      <c r="B49" s="58" t="s">
        <v>134</v>
      </c>
      <c r="C49" s="58"/>
      <c r="D49">
        <v>8</v>
      </c>
      <c r="F49" t="s">
        <v>134</v>
      </c>
      <c r="G49" s="58">
        <v>6.1733871200000001</v>
      </c>
      <c r="H49" s="58">
        <v>10.5</v>
      </c>
      <c r="I49" s="58">
        <v>0.90718399999999999</v>
      </c>
      <c r="J49" s="58">
        <v>0.93439952000000004</v>
      </c>
      <c r="K49" s="58">
        <v>3.4472992000000001E-2</v>
      </c>
      <c r="L49" s="58">
        <v>1.9050864000000001E-2</v>
      </c>
      <c r="M49" s="58">
        <v>9.7068687999999987</v>
      </c>
      <c r="N49">
        <v>63.5</v>
      </c>
      <c r="O49" s="58">
        <v>0.29483480000000001</v>
      </c>
      <c r="P49" s="58">
        <v>0.17236496000000001</v>
      </c>
      <c r="Q49">
        <v>9.6</v>
      </c>
      <c r="R49">
        <v>0.35</v>
      </c>
      <c r="S49">
        <v>0.2</v>
      </c>
    </row>
    <row r="50" spans="1:19">
      <c r="B50" s="58" t="s">
        <v>134</v>
      </c>
      <c r="C50" s="58"/>
      <c r="D50">
        <v>9</v>
      </c>
      <c r="F50">
        <v>546.57835999999998</v>
      </c>
      <c r="G50" s="58">
        <v>6.6496587199999997</v>
      </c>
      <c r="H50" s="58">
        <v>12.1</v>
      </c>
      <c r="I50" s="58">
        <v>0.81646560000000001</v>
      </c>
      <c r="J50" s="58">
        <v>1.0659411999999999</v>
      </c>
      <c r="K50" s="58">
        <v>3.5380175999999999E-2</v>
      </c>
      <c r="L50" s="58">
        <v>1.9504456E-2</v>
      </c>
      <c r="M50" s="58">
        <v>10.160460799999999</v>
      </c>
      <c r="N50">
        <v>65.400000000000006</v>
      </c>
      <c r="O50" s="58">
        <v>0.30844256000000003</v>
      </c>
      <c r="P50" s="58">
        <v>0.18597271999999998</v>
      </c>
      <c r="Q50">
        <v>10.5</v>
      </c>
      <c r="R50">
        <v>0.35</v>
      </c>
      <c r="S50">
        <v>0.19</v>
      </c>
    </row>
    <row r="51" spans="1:19">
      <c r="B51" s="58" t="s">
        <v>134</v>
      </c>
      <c r="C51" s="58"/>
      <c r="G51" s="58">
        <v>0</v>
      </c>
      <c r="H51" s="58">
        <v>0</v>
      </c>
      <c r="I51" s="58">
        <v>0</v>
      </c>
      <c r="J51" s="58">
        <v>0</v>
      </c>
      <c r="K51" s="58">
        <v>0</v>
      </c>
      <c r="L51" s="58">
        <v>0</v>
      </c>
      <c r="M51" s="58"/>
      <c r="O51" s="58"/>
      <c r="P51" s="58"/>
    </row>
    <row r="52" spans="1:19">
      <c r="B52" s="58" t="s">
        <v>134</v>
      </c>
      <c r="C52" s="58"/>
      <c r="G52" s="58" t="e">
        <v>#VALUE!</v>
      </c>
      <c r="H52" s="58">
        <v>0</v>
      </c>
      <c r="I52" s="58">
        <v>0</v>
      </c>
      <c r="J52" s="58">
        <v>0</v>
      </c>
      <c r="K52" s="58">
        <v>0</v>
      </c>
      <c r="L52" s="58">
        <v>0</v>
      </c>
    </row>
    <row r="53" spans="1:19" ht="26">
      <c r="A53" t="s">
        <v>29</v>
      </c>
      <c r="B53" s="58" t="s">
        <v>132</v>
      </c>
      <c r="C53" s="58" t="s">
        <v>128</v>
      </c>
      <c r="F53" s="55" t="s">
        <v>133</v>
      </c>
      <c r="G53" s="58" t="s">
        <v>130</v>
      </c>
      <c r="H53" s="58" t="s">
        <v>23</v>
      </c>
      <c r="I53" s="58" t="s">
        <v>129</v>
      </c>
      <c r="J53" s="58" t="s">
        <v>117</v>
      </c>
      <c r="K53" s="58" t="s">
        <v>118</v>
      </c>
      <c r="L53" s="58" t="s">
        <v>119</v>
      </c>
      <c r="M53" s="58" t="s">
        <v>120</v>
      </c>
      <c r="N53" t="s">
        <v>16</v>
      </c>
      <c r="O53" s="58" t="s">
        <v>126</v>
      </c>
      <c r="P53" s="58" t="s">
        <v>127</v>
      </c>
      <c r="Q53" t="s">
        <v>18</v>
      </c>
      <c r="R53" t="s">
        <v>19</v>
      </c>
      <c r="S53" t="s">
        <v>20</v>
      </c>
    </row>
    <row r="54" spans="1:19">
      <c r="B54" s="58">
        <v>589.66959999999995</v>
      </c>
      <c r="C54" s="58">
        <v>181.43680000000001</v>
      </c>
      <c r="F54" s="58">
        <v>0.453592</v>
      </c>
      <c r="G54" s="58">
        <v>2.5718666400000001</v>
      </c>
      <c r="H54" s="58">
        <v>3.9</v>
      </c>
      <c r="I54" s="58">
        <v>0.453592</v>
      </c>
      <c r="J54" s="58">
        <v>0.47173567999999999</v>
      </c>
      <c r="K54" s="58">
        <v>1.8143679999999999E-2</v>
      </c>
      <c r="L54" s="58">
        <v>9.0718399999999994E-3</v>
      </c>
      <c r="M54" s="58">
        <v>4.3091239999999997</v>
      </c>
      <c r="N54">
        <v>59.5</v>
      </c>
      <c r="O54" s="58">
        <v>0.14968536000000002</v>
      </c>
      <c r="P54" s="58">
        <v>0.14968536000000002</v>
      </c>
      <c r="Q54">
        <v>10.9</v>
      </c>
      <c r="R54">
        <v>0.42</v>
      </c>
      <c r="S54">
        <v>0.21</v>
      </c>
    </row>
    <row r="55" spans="1:19">
      <c r="B55" s="58" t="s">
        <v>134</v>
      </c>
      <c r="C55" s="58">
        <v>226.79599999999999</v>
      </c>
      <c r="F55" s="58">
        <v>0.453592</v>
      </c>
      <c r="G55" s="58">
        <v>3.0345304800000004</v>
      </c>
      <c r="H55" s="58">
        <v>4.5999999999999996</v>
      </c>
      <c r="I55" s="58">
        <v>0.54431039999999997</v>
      </c>
      <c r="J55" s="58">
        <v>0.50802304000000009</v>
      </c>
      <c r="K55" s="58">
        <v>1.8597272000000001E-2</v>
      </c>
      <c r="L55" s="58">
        <v>9.9790239999999995E-3</v>
      </c>
      <c r="M55" s="58">
        <v>5.1255896000000005</v>
      </c>
      <c r="N55">
        <v>59.4</v>
      </c>
      <c r="O55" s="58">
        <v>0.14968536000000002</v>
      </c>
      <c r="P55" s="58">
        <v>0.14968536000000002</v>
      </c>
      <c r="Q55">
        <v>10</v>
      </c>
      <c r="R55">
        <v>0.36</v>
      </c>
      <c r="S55">
        <v>0.19</v>
      </c>
    </row>
    <row r="56" spans="1:19">
      <c r="B56" s="58" t="s">
        <v>134</v>
      </c>
      <c r="C56" s="58">
        <v>272.15519999999998</v>
      </c>
      <c r="F56" s="58">
        <v>0.453592</v>
      </c>
      <c r="G56" s="58">
        <v>3.4926583999999998</v>
      </c>
      <c r="H56" s="58">
        <v>5.3</v>
      </c>
      <c r="I56" s="58">
        <v>0.58966960000000002</v>
      </c>
      <c r="J56" s="58">
        <v>0.54431039999999997</v>
      </c>
      <c r="K56" s="58">
        <v>1.9050864000000001E-2</v>
      </c>
      <c r="L56" s="58">
        <v>1.0886208E-2</v>
      </c>
      <c r="M56" s="58">
        <v>5.8513368000000003</v>
      </c>
      <c r="N56">
        <v>59.5</v>
      </c>
      <c r="O56" s="58">
        <v>0.14968536000000002</v>
      </c>
      <c r="P56" s="58">
        <v>0.14968536000000002</v>
      </c>
      <c r="Q56">
        <v>9.3000000000000007</v>
      </c>
      <c r="R56">
        <v>0.33</v>
      </c>
      <c r="S56">
        <v>0.18</v>
      </c>
    </row>
    <row r="57" spans="1:19">
      <c r="B57" s="58" t="s">
        <v>134</v>
      </c>
      <c r="C57" s="58">
        <v>317.51440000000002</v>
      </c>
      <c r="F57" s="58">
        <v>0.453592</v>
      </c>
      <c r="G57" s="58">
        <v>3.9054271199999997</v>
      </c>
      <c r="H57" s="58">
        <v>5.9</v>
      </c>
      <c r="I57" s="58">
        <v>0.68038799999999999</v>
      </c>
      <c r="J57" s="58">
        <v>0.58059775999999996</v>
      </c>
      <c r="K57" s="58">
        <v>1.9958047999999999E-2</v>
      </c>
      <c r="L57" s="58">
        <v>1.1339800000000001E-2</v>
      </c>
      <c r="M57" s="58">
        <v>6.5770840000000002</v>
      </c>
      <c r="N57">
        <v>59.4</v>
      </c>
      <c r="O57" s="58">
        <v>0.14968536000000002</v>
      </c>
      <c r="P57" s="58">
        <v>0.14968536000000002</v>
      </c>
      <c r="Q57">
        <v>8.8000000000000007</v>
      </c>
      <c r="R57">
        <v>0.3</v>
      </c>
      <c r="S57">
        <v>0.17</v>
      </c>
    </row>
    <row r="58" spans="1:19">
      <c r="B58" s="58" t="s">
        <v>134</v>
      </c>
      <c r="C58" s="58">
        <v>362.87360000000001</v>
      </c>
      <c r="F58" s="58">
        <v>0.453592</v>
      </c>
      <c r="G58" s="58">
        <v>4.3091239999999997</v>
      </c>
      <c r="H58" s="58">
        <v>6.5</v>
      </c>
      <c r="I58" s="58">
        <v>0.72574720000000004</v>
      </c>
      <c r="J58" s="58">
        <v>0.61234920000000004</v>
      </c>
      <c r="K58" s="58">
        <v>2.0865232000000001E-2</v>
      </c>
      <c r="L58" s="58">
        <v>1.2246983999999999E-2</v>
      </c>
      <c r="M58" s="58">
        <v>7.2574719999999999</v>
      </c>
      <c r="N58">
        <v>59.3</v>
      </c>
      <c r="O58" s="58">
        <v>0.14968536000000002</v>
      </c>
      <c r="P58" s="58">
        <v>0.14968536000000002</v>
      </c>
      <c r="Q58">
        <v>8.4</v>
      </c>
      <c r="R58">
        <v>0.28000000000000003</v>
      </c>
      <c r="S58">
        <v>0.17</v>
      </c>
    </row>
    <row r="59" spans="1:19">
      <c r="B59" s="58" t="s">
        <v>134</v>
      </c>
      <c r="C59" s="58">
        <v>181.43680000000001</v>
      </c>
      <c r="F59" s="58">
        <v>0.68038799999999999</v>
      </c>
      <c r="G59" s="58">
        <v>2.8304140800000002</v>
      </c>
      <c r="H59" s="58">
        <v>3.9</v>
      </c>
      <c r="I59" s="58">
        <v>0.68038799999999999</v>
      </c>
      <c r="J59" s="58">
        <v>0.56698999999999999</v>
      </c>
      <c r="K59" s="58">
        <v>2.4040375999999999E-2</v>
      </c>
      <c r="L59" s="58">
        <v>1.1793392E-2</v>
      </c>
      <c r="M59" s="58">
        <v>4.3998423999999998</v>
      </c>
      <c r="N59">
        <v>64</v>
      </c>
      <c r="O59" s="58">
        <v>0.17690088000000001</v>
      </c>
      <c r="P59" s="58">
        <v>0.17690088000000001</v>
      </c>
      <c r="Q59">
        <v>12.8</v>
      </c>
      <c r="R59">
        <v>0.54</v>
      </c>
      <c r="S59">
        <v>0.26</v>
      </c>
    </row>
    <row r="60" spans="1:19">
      <c r="B60" s="58" t="s">
        <v>134</v>
      </c>
      <c r="C60" s="58">
        <v>226.79599999999999</v>
      </c>
      <c r="F60" s="58">
        <v>0.68038799999999999</v>
      </c>
      <c r="G60" s="58">
        <v>3.34297304</v>
      </c>
      <c r="H60" s="58">
        <v>4.5999999999999996</v>
      </c>
      <c r="I60" s="58">
        <v>0.81646560000000001</v>
      </c>
      <c r="J60" s="58">
        <v>0.59874144000000007</v>
      </c>
      <c r="K60" s="58">
        <v>2.4493967999999998E-2</v>
      </c>
      <c r="L60" s="58">
        <v>1.2246983999999999E-2</v>
      </c>
      <c r="M60" s="58">
        <v>5.2163079999999997</v>
      </c>
      <c r="N60">
        <v>64</v>
      </c>
      <c r="O60" s="58">
        <v>0.17690088000000001</v>
      </c>
      <c r="P60" s="58">
        <v>0.17690088000000001</v>
      </c>
      <c r="Q60">
        <v>11.5</v>
      </c>
      <c r="R60">
        <v>0.47</v>
      </c>
      <c r="S60">
        <v>0.23</v>
      </c>
    </row>
    <row r="61" spans="1:19">
      <c r="B61" s="58" t="s">
        <v>134</v>
      </c>
      <c r="C61" s="58">
        <v>272.15519999999998</v>
      </c>
      <c r="F61" s="58">
        <v>0.68038799999999999</v>
      </c>
      <c r="G61" s="58">
        <v>3.8419242400000004</v>
      </c>
      <c r="H61" s="58">
        <v>5.3</v>
      </c>
      <c r="I61" s="58">
        <v>0.90718399999999999</v>
      </c>
      <c r="J61" s="58">
        <v>0.63049287999999992</v>
      </c>
      <c r="K61" s="58">
        <v>2.4493967999999998E-2</v>
      </c>
      <c r="L61" s="58">
        <v>1.2700576E-2</v>
      </c>
      <c r="M61" s="58">
        <v>5.9874143999999996</v>
      </c>
      <c r="N61">
        <v>64.099999999999994</v>
      </c>
      <c r="O61" s="58">
        <v>0.17690088000000001</v>
      </c>
      <c r="P61" s="58">
        <v>0.17690088000000001</v>
      </c>
      <c r="Q61">
        <v>10.5</v>
      </c>
      <c r="R61">
        <v>0.41</v>
      </c>
      <c r="S61">
        <v>0.21</v>
      </c>
    </row>
    <row r="62" spans="1:19">
      <c r="B62" s="58" t="s">
        <v>134</v>
      </c>
      <c r="C62" s="58">
        <v>317.51440000000002</v>
      </c>
      <c r="F62" s="58">
        <v>0.68038799999999999</v>
      </c>
      <c r="G62" s="58">
        <v>4.2955162400000004</v>
      </c>
      <c r="H62" s="58">
        <v>5.9</v>
      </c>
      <c r="I62" s="58">
        <v>0.99790240000000008</v>
      </c>
      <c r="J62" s="58">
        <v>0.65770839999999997</v>
      </c>
      <c r="K62" s="58">
        <v>2.4947560000000001E-2</v>
      </c>
      <c r="L62" s="58">
        <v>1.360776E-2</v>
      </c>
      <c r="M62" s="58">
        <v>6.7131616000000003</v>
      </c>
      <c r="N62">
        <v>63.9</v>
      </c>
      <c r="O62" s="58">
        <v>0.17690088000000001</v>
      </c>
      <c r="P62" s="58">
        <v>0.17690088000000001</v>
      </c>
      <c r="Q62">
        <v>9.8000000000000007</v>
      </c>
      <c r="R62">
        <v>0.37</v>
      </c>
      <c r="S62">
        <v>0.2</v>
      </c>
    </row>
    <row r="63" spans="1:19">
      <c r="B63" s="58" t="s">
        <v>134</v>
      </c>
      <c r="C63" s="58">
        <v>362.87360000000001</v>
      </c>
      <c r="F63" s="58">
        <v>0.68038799999999999</v>
      </c>
      <c r="G63" s="58">
        <v>4.7445723200000005</v>
      </c>
      <c r="H63" s="58">
        <v>6.5</v>
      </c>
      <c r="I63" s="58">
        <v>1.13398</v>
      </c>
      <c r="J63" s="58">
        <v>0.68492392000000002</v>
      </c>
      <c r="K63" s="58">
        <v>2.5401152E-2</v>
      </c>
      <c r="L63" s="58">
        <v>1.4061351999999999E-2</v>
      </c>
      <c r="M63" s="58">
        <v>7.4389087999999992</v>
      </c>
      <c r="N63">
        <v>63.9</v>
      </c>
      <c r="O63" s="58">
        <v>0.17690088000000001</v>
      </c>
      <c r="P63" s="58">
        <v>0.17690088000000001</v>
      </c>
      <c r="Q63">
        <v>9.1999999999999993</v>
      </c>
      <c r="R63">
        <v>0.34</v>
      </c>
      <c r="S63">
        <v>0.19</v>
      </c>
    </row>
    <row r="64" spans="1:19">
      <c r="B64" s="58" t="s">
        <v>134</v>
      </c>
      <c r="C64" s="58">
        <v>181.43680000000001</v>
      </c>
      <c r="F64" s="58">
        <v>0.90718399999999999</v>
      </c>
      <c r="G64" s="58">
        <v>3.0662819199999998</v>
      </c>
      <c r="H64" s="58">
        <v>3.9</v>
      </c>
      <c r="I64" s="58">
        <v>0.95254320000000003</v>
      </c>
      <c r="J64" s="58">
        <v>0.66224432</v>
      </c>
      <c r="K64" s="58">
        <v>2.9937072000000002E-2</v>
      </c>
      <c r="L64" s="58">
        <v>1.4061351999999999E-2</v>
      </c>
      <c r="M64" s="58">
        <v>4.4452015999999999</v>
      </c>
      <c r="N64">
        <v>69.2</v>
      </c>
      <c r="O64" s="58">
        <v>0.20865232</v>
      </c>
      <c r="P64" s="58">
        <v>0.20865232</v>
      </c>
      <c r="Q64">
        <v>14.9</v>
      </c>
      <c r="R64">
        <v>0.68</v>
      </c>
      <c r="S64">
        <v>0.32</v>
      </c>
    </row>
    <row r="65" spans="1:19">
      <c r="B65" s="58" t="s">
        <v>134</v>
      </c>
      <c r="C65" s="58">
        <v>226.79599999999999</v>
      </c>
      <c r="F65" s="58">
        <v>0.90718399999999999</v>
      </c>
      <c r="G65" s="58">
        <v>3.62420008</v>
      </c>
      <c r="H65" s="58">
        <v>4.5999999999999996</v>
      </c>
      <c r="I65" s="58">
        <v>1.0886207999999999</v>
      </c>
      <c r="J65" s="58">
        <v>0.68492392000000002</v>
      </c>
      <c r="K65" s="58">
        <v>2.9937072000000002E-2</v>
      </c>
      <c r="L65" s="58">
        <v>1.4514944E-2</v>
      </c>
      <c r="M65" s="58">
        <v>5.2616671999999998</v>
      </c>
      <c r="N65">
        <v>69.099999999999994</v>
      </c>
      <c r="O65" s="58">
        <v>0.20865232</v>
      </c>
      <c r="P65" s="58">
        <v>0.20865232</v>
      </c>
      <c r="Q65">
        <v>13.1</v>
      </c>
      <c r="R65">
        <v>0.56999999999999995</v>
      </c>
      <c r="S65">
        <v>0.28000000000000003</v>
      </c>
    </row>
    <row r="66" spans="1:19">
      <c r="B66" s="58" t="s">
        <v>134</v>
      </c>
      <c r="C66" s="58">
        <v>272.15519999999998</v>
      </c>
      <c r="F66" s="58">
        <v>0.90718399999999999</v>
      </c>
      <c r="G66" s="58">
        <v>4.1594386400000003</v>
      </c>
      <c r="H66" s="58">
        <v>5.3</v>
      </c>
      <c r="I66" s="58">
        <v>1.2246984000000001</v>
      </c>
      <c r="J66" s="58">
        <v>0.71213944000000007</v>
      </c>
      <c r="K66" s="58">
        <v>2.9937072000000002E-2</v>
      </c>
      <c r="L66" s="58">
        <v>1.4968536000000001E-2</v>
      </c>
      <c r="M66" s="58">
        <v>5.9874143999999996</v>
      </c>
      <c r="N66">
        <v>69.2</v>
      </c>
      <c r="O66" s="58">
        <v>0.20865232</v>
      </c>
      <c r="P66" s="58">
        <v>0.20865232</v>
      </c>
      <c r="Q66">
        <v>11.8</v>
      </c>
      <c r="R66">
        <v>0.5</v>
      </c>
      <c r="S66">
        <v>0.25</v>
      </c>
    </row>
    <row r="67" spans="1:19">
      <c r="B67" s="58" t="s">
        <v>134</v>
      </c>
      <c r="C67" s="58">
        <v>317.51440000000002</v>
      </c>
      <c r="F67" s="58">
        <v>0.90718399999999999</v>
      </c>
      <c r="G67" s="58">
        <v>4.6583898399999999</v>
      </c>
      <c r="H67" s="58">
        <v>5.9</v>
      </c>
      <c r="I67" s="58">
        <v>1.4061352</v>
      </c>
      <c r="J67" s="58">
        <v>0.73481904000000009</v>
      </c>
      <c r="K67" s="58">
        <v>2.9483479999999999E-2</v>
      </c>
      <c r="L67" s="58">
        <v>1.5422128E-2</v>
      </c>
      <c r="M67" s="58">
        <v>6.7585208000000003</v>
      </c>
      <c r="N67">
        <v>69.099999999999994</v>
      </c>
      <c r="O67" s="58">
        <v>0.20865232</v>
      </c>
      <c r="P67" s="58">
        <v>0.20865232</v>
      </c>
      <c r="Q67">
        <v>10.9</v>
      </c>
      <c r="R67">
        <v>0.44</v>
      </c>
      <c r="S67">
        <v>0.23</v>
      </c>
    </row>
    <row r="68" spans="1:19">
      <c r="B68" s="58" t="s">
        <v>134</v>
      </c>
      <c r="C68" s="58">
        <v>362.87360000000001</v>
      </c>
      <c r="F68" s="58">
        <v>0.90718399999999999</v>
      </c>
      <c r="G68" s="58">
        <v>5.1437332800000002</v>
      </c>
      <c r="H68" s="58">
        <v>6.5</v>
      </c>
      <c r="I68" s="58">
        <v>1.5422127999999999</v>
      </c>
      <c r="J68" s="58">
        <v>0.75749864</v>
      </c>
      <c r="K68" s="58">
        <v>2.9483479999999999E-2</v>
      </c>
      <c r="L68" s="58">
        <v>1.5875720000000003E-2</v>
      </c>
      <c r="M68" s="58">
        <v>7.4389087999999992</v>
      </c>
      <c r="N68">
        <v>69</v>
      </c>
      <c r="O68" s="58">
        <v>0.2041164</v>
      </c>
      <c r="P68" s="58">
        <v>0.2041164</v>
      </c>
      <c r="Q68">
        <v>10.1</v>
      </c>
      <c r="R68">
        <v>0.4</v>
      </c>
      <c r="S68">
        <v>0.21</v>
      </c>
    </row>
    <row r="69" spans="1:19">
      <c r="B69" s="58" t="s">
        <v>134</v>
      </c>
      <c r="C69" s="58" t="s">
        <v>134</v>
      </c>
      <c r="F69" s="58" t="s">
        <v>134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58"/>
      <c r="O69" s="58"/>
      <c r="P69" s="58"/>
    </row>
    <row r="70" spans="1:19">
      <c r="B70" s="58" t="s">
        <v>134</v>
      </c>
      <c r="C70" s="58" t="s">
        <v>134</v>
      </c>
      <c r="F70" s="58" t="s">
        <v>134</v>
      </c>
      <c r="G70" s="58" t="e">
        <v>#VALUE!</v>
      </c>
      <c r="H70" s="58">
        <v>0</v>
      </c>
      <c r="I70" s="58">
        <v>0</v>
      </c>
      <c r="J70" s="58">
        <v>0</v>
      </c>
      <c r="K70" s="58">
        <v>0</v>
      </c>
      <c r="L70" s="58">
        <v>0</v>
      </c>
    </row>
    <row r="71" spans="1:19" ht="26">
      <c r="A71" t="s">
        <v>40</v>
      </c>
      <c r="B71" s="58" t="s">
        <v>132</v>
      </c>
      <c r="C71" s="58" t="s">
        <v>128</v>
      </c>
      <c r="F71" s="55" t="s">
        <v>133</v>
      </c>
      <c r="G71" s="58" t="s">
        <v>130</v>
      </c>
      <c r="H71" s="58" t="s">
        <v>23</v>
      </c>
      <c r="I71" s="58" t="s">
        <v>129</v>
      </c>
      <c r="J71" s="58" t="s">
        <v>117</v>
      </c>
      <c r="K71" s="58" t="s">
        <v>118</v>
      </c>
      <c r="L71" s="58" t="s">
        <v>119</v>
      </c>
      <c r="M71" s="58" t="s">
        <v>120</v>
      </c>
      <c r="N71" t="s">
        <v>16</v>
      </c>
      <c r="O71" s="58" t="s">
        <v>126</v>
      </c>
      <c r="P71" s="58" t="s">
        <v>127</v>
      </c>
      <c r="Q71" t="s">
        <v>18</v>
      </c>
      <c r="R71" t="s">
        <v>19</v>
      </c>
      <c r="S71" t="s">
        <v>20</v>
      </c>
    </row>
    <row r="72" spans="1:19">
      <c r="B72" s="58">
        <v>544.31039999999996</v>
      </c>
      <c r="C72" s="58">
        <v>181.43680000000001</v>
      </c>
      <c r="F72" s="58">
        <v>0.68038799999999999</v>
      </c>
      <c r="G72" s="58">
        <v>2.83948592</v>
      </c>
      <c r="H72" s="58">
        <v>3.9</v>
      </c>
      <c r="I72" s="58">
        <v>0.72574720000000004</v>
      </c>
      <c r="J72" s="58">
        <v>0.56698999999999999</v>
      </c>
      <c r="K72" s="58">
        <v>2.3586784E-2</v>
      </c>
      <c r="L72" s="58">
        <v>1.1339800000000001E-2</v>
      </c>
      <c r="M72" s="58">
        <v>4.53592</v>
      </c>
      <c r="N72">
        <v>62.3</v>
      </c>
      <c r="O72" s="58">
        <v>0.29483480000000001</v>
      </c>
      <c r="P72" s="58">
        <v>0.17690088000000001</v>
      </c>
      <c r="Q72">
        <v>12.4</v>
      </c>
      <c r="R72">
        <v>0.52</v>
      </c>
      <c r="S72">
        <v>0.25</v>
      </c>
    </row>
    <row r="73" spans="1:19">
      <c r="B73" s="58" t="s">
        <v>134</v>
      </c>
      <c r="C73" s="58">
        <v>226.79599999999999</v>
      </c>
      <c r="F73" s="58">
        <v>0.68038799999999999</v>
      </c>
      <c r="G73" s="58">
        <v>3.3565808000000001</v>
      </c>
      <c r="H73" s="58">
        <v>4.5999999999999996</v>
      </c>
      <c r="I73" s="58">
        <v>0.86182479999999995</v>
      </c>
      <c r="J73" s="58">
        <v>0.59874144000000007</v>
      </c>
      <c r="K73" s="58">
        <v>2.4040375999999999E-2</v>
      </c>
      <c r="L73" s="58">
        <v>1.2246983999999999E-2</v>
      </c>
      <c r="M73" s="58">
        <v>5.3977447999999999</v>
      </c>
      <c r="N73">
        <v>62.3</v>
      </c>
      <c r="O73" s="58">
        <v>0.29483480000000001</v>
      </c>
      <c r="P73" s="58">
        <v>0.17690088000000001</v>
      </c>
      <c r="Q73">
        <v>11.1</v>
      </c>
      <c r="R73">
        <v>0.44</v>
      </c>
      <c r="S73">
        <v>0.22</v>
      </c>
    </row>
    <row r="74" spans="1:19">
      <c r="B74" s="58" t="s">
        <v>134</v>
      </c>
      <c r="C74" s="58">
        <v>272.15519999999998</v>
      </c>
      <c r="F74" s="58">
        <v>0.68038799999999999</v>
      </c>
      <c r="G74" s="58">
        <v>3.8555320000000002</v>
      </c>
      <c r="H74" s="58">
        <v>5.3</v>
      </c>
      <c r="I74" s="58">
        <v>0.95254320000000003</v>
      </c>
      <c r="J74" s="58">
        <v>0.6259569599999999</v>
      </c>
      <c r="K74" s="58">
        <v>2.4040375999999999E-2</v>
      </c>
      <c r="L74" s="58">
        <v>1.2700576E-2</v>
      </c>
      <c r="M74" s="58">
        <v>6.1688511999999998</v>
      </c>
      <c r="N74">
        <v>62.4</v>
      </c>
      <c r="O74" s="58">
        <v>0.29483480000000001</v>
      </c>
      <c r="P74" s="58">
        <v>0.17690088000000001</v>
      </c>
      <c r="Q74">
        <v>10.1</v>
      </c>
      <c r="R74">
        <v>0.39</v>
      </c>
      <c r="S74">
        <v>0.2</v>
      </c>
    </row>
    <row r="75" spans="1:19">
      <c r="B75" s="58" t="s">
        <v>134</v>
      </c>
      <c r="C75" s="58">
        <v>317.51440000000002</v>
      </c>
      <c r="F75" s="58">
        <v>0.68038799999999999</v>
      </c>
      <c r="G75" s="58">
        <v>4.3136599200000001</v>
      </c>
      <c r="H75" s="58">
        <v>5.9</v>
      </c>
      <c r="I75" s="58">
        <v>1.0886207999999999</v>
      </c>
      <c r="J75" s="58">
        <v>0.65317247999999994</v>
      </c>
      <c r="K75" s="58">
        <v>2.4493967999999998E-2</v>
      </c>
      <c r="L75" s="58">
        <v>1.3154168000000001E-2</v>
      </c>
      <c r="M75" s="58">
        <v>6.9399576000000005</v>
      </c>
      <c r="N75">
        <v>62.2</v>
      </c>
      <c r="O75" s="58">
        <v>0.29483480000000001</v>
      </c>
      <c r="P75" s="58">
        <v>0.17236496000000001</v>
      </c>
      <c r="Q75">
        <v>9.4</v>
      </c>
      <c r="R75">
        <v>0.35</v>
      </c>
      <c r="S75">
        <v>0.19</v>
      </c>
    </row>
    <row r="76" spans="1:19">
      <c r="B76" s="58" t="s">
        <v>134</v>
      </c>
      <c r="C76" s="58">
        <v>362.87360000000001</v>
      </c>
      <c r="F76" s="58">
        <v>0.68038799999999999</v>
      </c>
      <c r="G76" s="58">
        <v>4.7627160000000002</v>
      </c>
      <c r="H76" s="58">
        <v>6.5</v>
      </c>
      <c r="I76" s="58">
        <v>1.1793392</v>
      </c>
      <c r="J76" s="58">
        <v>0.68038799999999999</v>
      </c>
      <c r="K76" s="58">
        <v>2.4493967999999998E-2</v>
      </c>
      <c r="L76" s="58">
        <v>1.360776E-2</v>
      </c>
      <c r="M76" s="58">
        <v>7.6657047999999994</v>
      </c>
      <c r="N76">
        <v>62.2</v>
      </c>
      <c r="O76" s="58">
        <v>0.29483480000000001</v>
      </c>
      <c r="P76" s="58">
        <v>0.17236496000000001</v>
      </c>
      <c r="Q76">
        <v>8.9</v>
      </c>
      <c r="R76">
        <v>0.32</v>
      </c>
      <c r="S76">
        <v>0.18</v>
      </c>
    </row>
    <row r="77" spans="1:19">
      <c r="B77" s="58" t="s">
        <v>134</v>
      </c>
      <c r="C77" s="58">
        <v>181.43680000000001</v>
      </c>
      <c r="F77" s="58">
        <v>0.90718399999999999</v>
      </c>
      <c r="G77" s="58">
        <v>3.0889615199999998</v>
      </c>
      <c r="H77" s="58">
        <v>3.9</v>
      </c>
      <c r="I77" s="58">
        <v>0.99790240000000008</v>
      </c>
      <c r="J77" s="58">
        <v>0.66224432</v>
      </c>
      <c r="K77" s="58">
        <v>2.9483479999999999E-2</v>
      </c>
      <c r="L77" s="58">
        <v>1.4061351999999999E-2</v>
      </c>
      <c r="M77" s="58">
        <v>4.5812792</v>
      </c>
      <c r="N77">
        <v>67.5</v>
      </c>
      <c r="O77" s="58">
        <v>0.33112216</v>
      </c>
      <c r="P77" s="58">
        <v>0.2041164</v>
      </c>
      <c r="Q77">
        <v>14.5</v>
      </c>
      <c r="R77">
        <v>0.65</v>
      </c>
      <c r="S77">
        <v>0.3</v>
      </c>
    </row>
    <row r="78" spans="1:19">
      <c r="B78" s="58" t="s">
        <v>134</v>
      </c>
      <c r="C78" s="58">
        <v>226.79599999999999</v>
      </c>
      <c r="F78" s="58">
        <v>0.90718399999999999</v>
      </c>
      <c r="G78" s="58">
        <v>3.6468796799999996</v>
      </c>
      <c r="H78" s="58">
        <v>4.5999999999999996</v>
      </c>
      <c r="I78" s="58">
        <v>1.13398</v>
      </c>
      <c r="J78" s="58">
        <v>0.68492392000000002</v>
      </c>
      <c r="K78" s="58">
        <v>2.9029888E-2</v>
      </c>
      <c r="L78" s="58">
        <v>1.4061351999999999E-2</v>
      </c>
      <c r="M78" s="58">
        <v>5.3977447999999999</v>
      </c>
      <c r="N78">
        <v>67.400000000000006</v>
      </c>
      <c r="O78" s="58">
        <v>0.33112216</v>
      </c>
      <c r="P78" s="58">
        <v>0.2041164</v>
      </c>
      <c r="Q78">
        <v>12.7</v>
      </c>
      <c r="R78">
        <v>0.54</v>
      </c>
      <c r="S78">
        <v>0.26</v>
      </c>
    </row>
    <row r="79" spans="1:19">
      <c r="B79" s="58" t="s">
        <v>134</v>
      </c>
      <c r="C79" s="58">
        <v>272.15519999999998</v>
      </c>
      <c r="F79" s="58">
        <v>0.90718399999999999</v>
      </c>
      <c r="G79" s="58">
        <v>4.1866541599999998</v>
      </c>
      <c r="H79" s="58">
        <v>5.3</v>
      </c>
      <c r="I79" s="58">
        <v>1.3154167999999999</v>
      </c>
      <c r="J79" s="58">
        <v>0.70760352000000004</v>
      </c>
      <c r="K79" s="58">
        <v>2.9029888E-2</v>
      </c>
      <c r="L79" s="58">
        <v>1.4514944E-2</v>
      </c>
      <c r="M79" s="58">
        <v>6.2142103999999998</v>
      </c>
      <c r="N79">
        <v>67.5</v>
      </c>
      <c r="O79" s="58">
        <v>0.33112216</v>
      </c>
      <c r="P79" s="58">
        <v>0.20865232</v>
      </c>
      <c r="Q79">
        <v>11.4</v>
      </c>
      <c r="R79">
        <v>0.47</v>
      </c>
      <c r="S79">
        <v>0.24</v>
      </c>
    </row>
    <row r="80" spans="1:19">
      <c r="B80" s="58" t="s">
        <v>134</v>
      </c>
      <c r="C80" s="58">
        <v>317.51440000000002</v>
      </c>
      <c r="F80" s="58">
        <v>0.90718399999999999</v>
      </c>
      <c r="G80" s="58">
        <v>4.6901412799999997</v>
      </c>
      <c r="H80" s="58">
        <v>5.9</v>
      </c>
      <c r="I80" s="58">
        <v>1.4968535999999999</v>
      </c>
      <c r="J80" s="58">
        <v>0.72574720000000004</v>
      </c>
      <c r="K80" s="58">
        <v>2.9029888E-2</v>
      </c>
      <c r="L80" s="58">
        <v>1.4968536000000001E-2</v>
      </c>
      <c r="M80" s="58">
        <v>6.9399576000000005</v>
      </c>
      <c r="N80">
        <v>67.400000000000006</v>
      </c>
      <c r="O80" s="58">
        <v>0.33112216</v>
      </c>
      <c r="P80" s="58">
        <v>0.2041164</v>
      </c>
      <c r="Q80">
        <v>10.5</v>
      </c>
      <c r="R80">
        <v>0.42</v>
      </c>
      <c r="S80">
        <v>0.22</v>
      </c>
    </row>
    <row r="81" spans="1:19">
      <c r="B81" s="58" t="s">
        <v>134</v>
      </c>
      <c r="C81" s="58">
        <v>362.87360000000001</v>
      </c>
      <c r="F81" s="58">
        <v>0.90718399999999999</v>
      </c>
      <c r="G81" s="58">
        <v>5.17548472</v>
      </c>
      <c r="H81" s="58">
        <v>6.5</v>
      </c>
      <c r="I81" s="58">
        <v>1.6329312</v>
      </c>
      <c r="J81" s="58">
        <v>0.74842679999999995</v>
      </c>
      <c r="K81" s="58">
        <v>2.8576296000000001E-2</v>
      </c>
      <c r="L81" s="58">
        <v>1.5422128E-2</v>
      </c>
      <c r="M81" s="58">
        <v>7.7110640000000004</v>
      </c>
      <c r="N81">
        <v>67.3</v>
      </c>
      <c r="O81" s="58">
        <v>0.33112216</v>
      </c>
      <c r="P81" s="58">
        <v>0.2041164</v>
      </c>
      <c r="Q81">
        <v>9.6999999999999993</v>
      </c>
      <c r="R81">
        <v>0.37</v>
      </c>
      <c r="S81">
        <v>0.2</v>
      </c>
    </row>
    <row r="82" spans="1:19">
      <c r="B82" s="58" t="s">
        <v>134</v>
      </c>
      <c r="C82" s="58">
        <v>181.43680000000001</v>
      </c>
      <c r="F82" s="58">
        <v>1.13398</v>
      </c>
      <c r="G82" s="58">
        <v>3.3157575199999996</v>
      </c>
      <c r="H82" s="58">
        <v>3.9</v>
      </c>
      <c r="I82" s="58">
        <v>1.2246984000000001</v>
      </c>
      <c r="J82" s="58">
        <v>0.75296271999999997</v>
      </c>
      <c r="K82" s="58">
        <v>3.5380175999999999E-2</v>
      </c>
      <c r="L82" s="58">
        <v>1.6329311999999999E-2</v>
      </c>
      <c r="M82" s="58">
        <v>4.4905607999999999</v>
      </c>
      <c r="N82">
        <v>73.5</v>
      </c>
      <c r="O82" s="58">
        <v>0.37194543999999996</v>
      </c>
      <c r="P82" s="58">
        <v>0.24040376000000002</v>
      </c>
      <c r="Q82">
        <v>16.7</v>
      </c>
      <c r="R82">
        <v>0.78</v>
      </c>
      <c r="S82">
        <v>0.36</v>
      </c>
    </row>
    <row r="83" spans="1:19">
      <c r="B83" s="58" t="s">
        <v>134</v>
      </c>
      <c r="C83" s="58">
        <v>226.79599999999999</v>
      </c>
      <c r="F83" s="58">
        <v>1.13398</v>
      </c>
      <c r="G83" s="58">
        <v>3.9144989600000004</v>
      </c>
      <c r="H83" s="58">
        <v>4.5999999999999996</v>
      </c>
      <c r="I83" s="58">
        <v>1.4514944000000001</v>
      </c>
      <c r="J83" s="58">
        <v>0.77110639999999997</v>
      </c>
      <c r="K83" s="58">
        <v>3.4472992000000001E-2</v>
      </c>
      <c r="L83" s="58">
        <v>1.6329311999999999E-2</v>
      </c>
      <c r="M83" s="58">
        <v>5.3523855999999999</v>
      </c>
      <c r="N83">
        <v>73.5</v>
      </c>
      <c r="O83" s="58">
        <v>0.37194543999999996</v>
      </c>
      <c r="P83" s="58">
        <v>0.24040376000000002</v>
      </c>
      <c r="Q83">
        <v>14.5</v>
      </c>
      <c r="R83">
        <v>0.65</v>
      </c>
      <c r="S83">
        <v>0.31</v>
      </c>
    </row>
    <row r="84" spans="1:19">
      <c r="B84" s="58" t="s">
        <v>134</v>
      </c>
      <c r="C84" s="58">
        <v>272.15519999999998</v>
      </c>
      <c r="F84" s="58">
        <v>1.13398</v>
      </c>
      <c r="G84" s="58">
        <v>4.4996326399999997</v>
      </c>
      <c r="H84" s="58">
        <v>5.3</v>
      </c>
      <c r="I84" s="58">
        <v>1.6782904000000001</v>
      </c>
      <c r="J84" s="58">
        <v>0.78471415999999994</v>
      </c>
      <c r="K84" s="58">
        <v>3.4019399999999998E-2</v>
      </c>
      <c r="L84" s="58">
        <v>1.6782903999999998E-2</v>
      </c>
      <c r="M84" s="58">
        <v>6.1234919999999997</v>
      </c>
      <c r="N84">
        <v>73.599999999999994</v>
      </c>
      <c r="O84" s="58">
        <v>0.37194543999999996</v>
      </c>
      <c r="P84" s="58">
        <v>0.24040376000000002</v>
      </c>
      <c r="Q84">
        <v>12.9</v>
      </c>
      <c r="R84">
        <v>0.56000000000000005</v>
      </c>
      <c r="S84">
        <v>0.27</v>
      </c>
    </row>
    <row r="85" spans="1:19">
      <c r="B85" s="58" t="s">
        <v>134</v>
      </c>
      <c r="C85" s="58">
        <v>317.51440000000002</v>
      </c>
      <c r="F85" s="58">
        <v>1.13398</v>
      </c>
      <c r="G85" s="58">
        <v>5.0394071199999999</v>
      </c>
      <c r="H85" s="58">
        <v>5.9</v>
      </c>
      <c r="I85" s="58">
        <v>1.9050864000000001</v>
      </c>
      <c r="J85" s="58">
        <v>0.79832192000000002</v>
      </c>
      <c r="K85" s="58">
        <v>3.3565807999999996E-2</v>
      </c>
      <c r="L85" s="58">
        <v>1.6782903999999998E-2</v>
      </c>
      <c r="M85" s="58">
        <v>6.8492391999999995</v>
      </c>
      <c r="N85">
        <v>73.400000000000006</v>
      </c>
      <c r="O85" s="58">
        <v>0.36740952000000004</v>
      </c>
      <c r="P85" s="58">
        <v>0.24040376000000002</v>
      </c>
      <c r="Q85">
        <v>11.7</v>
      </c>
      <c r="R85">
        <v>0.49</v>
      </c>
      <c r="S85">
        <v>0.25</v>
      </c>
    </row>
    <row r="86" spans="1:19">
      <c r="B86" s="58" t="s">
        <v>134</v>
      </c>
      <c r="C86" s="58">
        <v>362.87360000000001</v>
      </c>
      <c r="F86" s="58">
        <v>1.13398</v>
      </c>
      <c r="G86" s="58">
        <v>5.5655738399999999</v>
      </c>
      <c r="H86" s="58">
        <v>6.5</v>
      </c>
      <c r="I86" s="58">
        <v>2.0865231999999998</v>
      </c>
      <c r="J86" s="58">
        <v>0.81646560000000001</v>
      </c>
      <c r="K86" s="58">
        <v>3.3112216E-2</v>
      </c>
      <c r="L86" s="58">
        <v>1.7236496E-2</v>
      </c>
      <c r="M86" s="58">
        <v>7.5749863999999993</v>
      </c>
      <c r="N86">
        <v>73.3</v>
      </c>
      <c r="O86" s="58">
        <v>0.36740952000000004</v>
      </c>
      <c r="P86" s="58">
        <v>0.24040376000000002</v>
      </c>
      <c r="Q86">
        <v>10.7</v>
      </c>
      <c r="R86">
        <v>0.43</v>
      </c>
      <c r="S86">
        <v>0.23</v>
      </c>
    </row>
    <row r="87" spans="1:19">
      <c r="B87" s="58" t="s">
        <v>134</v>
      </c>
      <c r="C87" s="58">
        <v>181.43680000000001</v>
      </c>
      <c r="F87" s="58">
        <v>1.360776</v>
      </c>
      <c r="G87" s="58">
        <v>3.5244098399999997</v>
      </c>
      <c r="H87" s="58">
        <v>3.9</v>
      </c>
      <c r="I87" s="58">
        <v>1.5422127999999999</v>
      </c>
      <c r="J87" s="58">
        <v>0.84821704000000009</v>
      </c>
      <c r="K87" s="58">
        <v>4.1276871999999999E-2</v>
      </c>
      <c r="L87" s="58">
        <v>1.8597272000000001E-2</v>
      </c>
      <c r="M87" s="58">
        <v>4.3091239999999997</v>
      </c>
      <c r="N87">
        <v>81.5</v>
      </c>
      <c r="O87" s="58">
        <v>0.42184056000000003</v>
      </c>
      <c r="P87" s="58">
        <v>0.28576296000000001</v>
      </c>
      <c r="Q87">
        <v>19.600000000000001</v>
      </c>
      <c r="R87">
        <v>0.95</v>
      </c>
      <c r="S87">
        <v>0.43</v>
      </c>
    </row>
    <row r="88" spans="1:19">
      <c r="B88" s="58" t="s">
        <v>134</v>
      </c>
      <c r="C88" s="58">
        <v>226.79599999999999</v>
      </c>
      <c r="F88" s="58">
        <v>1.360776</v>
      </c>
      <c r="G88" s="58">
        <v>4.1639745599999998</v>
      </c>
      <c r="H88" s="58">
        <v>4.5999999999999996</v>
      </c>
      <c r="I88" s="58">
        <v>1.814368</v>
      </c>
      <c r="J88" s="58">
        <v>0.85728887999999992</v>
      </c>
      <c r="K88" s="58">
        <v>3.9916095999999998E-2</v>
      </c>
      <c r="L88" s="58">
        <v>1.8597272000000001E-2</v>
      </c>
      <c r="M88" s="58">
        <v>5.1255896000000005</v>
      </c>
      <c r="N88">
        <v>81.400000000000006</v>
      </c>
      <c r="O88" s="58">
        <v>0.42184056000000003</v>
      </c>
      <c r="P88" s="58">
        <v>0.28576296000000001</v>
      </c>
      <c r="Q88">
        <v>16.7</v>
      </c>
      <c r="R88">
        <v>0.78</v>
      </c>
      <c r="S88">
        <v>0.36</v>
      </c>
    </row>
    <row r="89" spans="1:19">
      <c r="B89" s="58" t="s">
        <v>134</v>
      </c>
      <c r="C89" s="58">
        <v>272.15519999999998</v>
      </c>
      <c r="F89" s="58">
        <v>1.360776</v>
      </c>
      <c r="G89" s="58">
        <v>4.7808596799999998</v>
      </c>
      <c r="H89" s="58">
        <v>5.3</v>
      </c>
      <c r="I89" s="58">
        <v>2.0411640000000002</v>
      </c>
      <c r="J89" s="58">
        <v>0.86182479999999995</v>
      </c>
      <c r="K89" s="58">
        <v>3.9008912E-2</v>
      </c>
      <c r="L89" s="58">
        <v>1.8597272000000001E-2</v>
      </c>
      <c r="M89" s="58">
        <v>5.8513368000000003</v>
      </c>
      <c r="N89">
        <v>81.599999999999994</v>
      </c>
      <c r="O89" s="58">
        <v>0.42184056000000003</v>
      </c>
      <c r="P89" s="58">
        <v>0.28576296000000001</v>
      </c>
      <c r="Q89">
        <v>14.7</v>
      </c>
      <c r="R89">
        <v>0.66</v>
      </c>
      <c r="S89">
        <v>0.32</v>
      </c>
    </row>
    <row r="90" spans="1:19">
      <c r="B90" s="58" t="s">
        <v>134</v>
      </c>
      <c r="C90" s="58">
        <v>317.51440000000002</v>
      </c>
      <c r="F90" s="58">
        <v>1.360776</v>
      </c>
      <c r="G90" s="58">
        <v>5.3569215200000002</v>
      </c>
      <c r="H90" s="58">
        <v>5.9</v>
      </c>
      <c r="I90" s="58">
        <v>2.3133192</v>
      </c>
      <c r="J90" s="58">
        <v>0.87089664</v>
      </c>
      <c r="K90" s="58">
        <v>3.7648135999999999E-2</v>
      </c>
      <c r="L90" s="58">
        <v>1.8597272000000001E-2</v>
      </c>
      <c r="M90" s="58">
        <v>6.5770840000000002</v>
      </c>
      <c r="N90">
        <v>81.2</v>
      </c>
      <c r="O90" s="58">
        <v>0.42184056000000003</v>
      </c>
      <c r="P90" s="58">
        <v>0.28576296000000001</v>
      </c>
      <c r="Q90">
        <v>13.2</v>
      </c>
      <c r="R90">
        <v>0.56999999999999995</v>
      </c>
      <c r="S90">
        <v>0.28000000000000003</v>
      </c>
    </row>
    <row r="91" spans="1:19">
      <c r="B91" s="58" t="s">
        <v>134</v>
      </c>
      <c r="C91" s="58">
        <v>362.87360000000001</v>
      </c>
      <c r="F91" s="58">
        <v>1.360776</v>
      </c>
      <c r="G91" s="58">
        <v>5.9148396799999992</v>
      </c>
      <c r="H91" s="58">
        <v>6.5</v>
      </c>
      <c r="I91" s="58">
        <v>2.5401151999999998</v>
      </c>
      <c r="J91" s="58">
        <v>0.87996847999999994</v>
      </c>
      <c r="K91" s="58">
        <v>3.6740952E-2</v>
      </c>
      <c r="L91" s="58">
        <v>1.8597272000000001E-2</v>
      </c>
      <c r="M91" s="58">
        <v>7.3028312000000009</v>
      </c>
      <c r="N91">
        <v>81.099999999999994</v>
      </c>
      <c r="O91" s="58">
        <v>0.41730464</v>
      </c>
      <c r="P91" s="58">
        <v>0.28122703999999998</v>
      </c>
      <c r="Q91">
        <v>12.1</v>
      </c>
      <c r="R91">
        <v>0.51</v>
      </c>
      <c r="S91">
        <v>0.26</v>
      </c>
    </row>
    <row r="92" spans="1:19">
      <c r="B92" s="58" t="s">
        <v>134</v>
      </c>
      <c r="C92" s="58" t="s">
        <v>134</v>
      </c>
      <c r="F92" s="58" t="s">
        <v>134</v>
      </c>
      <c r="G92" s="58">
        <v>0</v>
      </c>
      <c r="H92" s="58">
        <v>0</v>
      </c>
      <c r="I92" s="58">
        <v>0</v>
      </c>
      <c r="J92" s="58">
        <v>0</v>
      </c>
      <c r="K92" s="58">
        <v>0</v>
      </c>
      <c r="L92" s="58">
        <v>0</v>
      </c>
      <c r="M92" s="58"/>
      <c r="O92" s="58"/>
      <c r="P92" s="58"/>
    </row>
    <row r="93" spans="1:19">
      <c r="B93" s="58" t="s">
        <v>134</v>
      </c>
      <c r="C93" s="58" t="s">
        <v>134</v>
      </c>
      <c r="F93" s="58" t="s">
        <v>134</v>
      </c>
      <c r="G93" s="58" t="e">
        <v>#VALUE!</v>
      </c>
      <c r="H93" s="58">
        <v>0</v>
      </c>
      <c r="I93" s="58">
        <v>0</v>
      </c>
      <c r="J93" s="58">
        <v>0</v>
      </c>
      <c r="K93" s="58">
        <v>0</v>
      </c>
      <c r="L93" s="58">
        <v>0</v>
      </c>
    </row>
    <row r="94" spans="1:19" ht="26">
      <c r="A94" t="s">
        <v>41</v>
      </c>
      <c r="B94" s="58" t="s">
        <v>132</v>
      </c>
      <c r="C94" s="58" t="s">
        <v>128</v>
      </c>
      <c r="F94" s="55" t="s">
        <v>133</v>
      </c>
      <c r="G94" s="58" t="s">
        <v>130</v>
      </c>
      <c r="H94" s="58" t="s">
        <v>23</v>
      </c>
      <c r="I94" s="58" t="s">
        <v>129</v>
      </c>
      <c r="J94" s="58" t="s">
        <v>117</v>
      </c>
      <c r="K94" s="58" t="s">
        <v>118</v>
      </c>
      <c r="L94" s="58" t="s">
        <v>119</v>
      </c>
      <c r="M94" s="58" t="s">
        <v>120</v>
      </c>
      <c r="N94" t="s">
        <v>16</v>
      </c>
      <c r="O94" s="58" t="s">
        <v>126</v>
      </c>
      <c r="P94" s="58" t="s">
        <v>127</v>
      </c>
      <c r="Q94" t="s">
        <v>18</v>
      </c>
      <c r="R94" t="s">
        <v>19</v>
      </c>
      <c r="S94" t="s">
        <v>20</v>
      </c>
    </row>
    <row r="95" spans="1:19">
      <c r="B95" s="58">
        <v>544.31039999999996</v>
      </c>
      <c r="C95" s="58">
        <v>272.15519999999998</v>
      </c>
      <c r="F95" s="58">
        <v>0.453592</v>
      </c>
      <c r="G95" s="58">
        <v>3.8056368800000002</v>
      </c>
      <c r="H95" s="58">
        <v>5.3</v>
      </c>
      <c r="I95" s="58">
        <v>0.63502879999999995</v>
      </c>
      <c r="J95" s="58">
        <v>0.57152592000000002</v>
      </c>
      <c r="K95" s="58">
        <v>1.9050864000000001E-2</v>
      </c>
      <c r="L95" s="58">
        <v>1.0432616E-2</v>
      </c>
      <c r="M95" s="58">
        <v>7.1667535999999998</v>
      </c>
      <c r="N95">
        <v>53.1</v>
      </c>
      <c r="O95" s="58">
        <v>0.23133192</v>
      </c>
      <c r="P95" s="58">
        <v>0.113398</v>
      </c>
      <c r="Q95">
        <v>8</v>
      </c>
      <c r="R95">
        <v>0.26</v>
      </c>
      <c r="S95">
        <v>0.15</v>
      </c>
    </row>
    <row r="96" spans="1:19">
      <c r="B96" s="58" t="s">
        <v>134</v>
      </c>
      <c r="C96" s="58">
        <v>317.51440000000002</v>
      </c>
      <c r="F96" s="58">
        <v>0.453592</v>
      </c>
      <c r="G96" s="58">
        <v>4.2592288800000002</v>
      </c>
      <c r="H96" s="58">
        <v>5.9</v>
      </c>
      <c r="I96" s="58">
        <v>0.68038799999999999</v>
      </c>
      <c r="J96" s="58">
        <v>0.60327735999999998</v>
      </c>
      <c r="K96" s="58">
        <v>1.9504456E-2</v>
      </c>
      <c r="L96" s="58">
        <v>1.1339800000000001E-2</v>
      </c>
      <c r="M96" s="58">
        <v>8.0285783999999989</v>
      </c>
      <c r="N96">
        <v>53</v>
      </c>
      <c r="O96" s="58">
        <v>0.23133192</v>
      </c>
      <c r="P96" s="58">
        <v>0.113398</v>
      </c>
      <c r="Q96">
        <v>7.5</v>
      </c>
      <c r="R96">
        <v>0.24</v>
      </c>
      <c r="S96">
        <v>0.14000000000000001</v>
      </c>
    </row>
    <row r="97" spans="2:19">
      <c r="B97" s="58" t="s">
        <v>134</v>
      </c>
      <c r="C97" s="58">
        <v>362.87360000000001</v>
      </c>
      <c r="F97" s="58">
        <v>0.453592</v>
      </c>
      <c r="G97" s="58">
        <v>4.6992131199999996</v>
      </c>
      <c r="H97" s="58">
        <v>6.5</v>
      </c>
      <c r="I97" s="58">
        <v>0.77110639999999997</v>
      </c>
      <c r="J97" s="58">
        <v>0.63502879999999995</v>
      </c>
      <c r="K97" s="58">
        <v>2.0411639999999998E-2</v>
      </c>
      <c r="L97" s="58">
        <v>1.2246983999999999E-2</v>
      </c>
      <c r="M97" s="58">
        <v>8.8904031999999997</v>
      </c>
      <c r="N97">
        <v>53</v>
      </c>
      <c r="O97" s="58">
        <v>0.23133192</v>
      </c>
      <c r="P97" s="58">
        <v>0.113398</v>
      </c>
      <c r="Q97">
        <v>7.2</v>
      </c>
      <c r="R97">
        <v>0.23</v>
      </c>
      <c r="S97">
        <v>0.14000000000000001</v>
      </c>
    </row>
    <row r="98" spans="2:19">
      <c r="B98" s="58" t="s">
        <v>134</v>
      </c>
      <c r="C98" s="58">
        <v>408.2328</v>
      </c>
      <c r="F98" s="58">
        <v>0.453592</v>
      </c>
      <c r="G98" s="58">
        <v>5.13012552</v>
      </c>
      <c r="H98" s="58">
        <v>7.1</v>
      </c>
      <c r="I98" s="58">
        <v>0.81646560000000001</v>
      </c>
      <c r="J98" s="58">
        <v>0.66678024000000002</v>
      </c>
      <c r="K98" s="58">
        <v>2.0865232000000001E-2</v>
      </c>
      <c r="L98" s="58">
        <v>1.2700576E-2</v>
      </c>
      <c r="M98" s="58">
        <v>9.7068687999999987</v>
      </c>
      <c r="N98">
        <v>52.9</v>
      </c>
      <c r="O98" s="58">
        <v>0.23133192</v>
      </c>
      <c r="P98" s="58">
        <v>0.113398</v>
      </c>
      <c r="Q98">
        <v>6.9</v>
      </c>
      <c r="R98">
        <v>0.22</v>
      </c>
      <c r="S98">
        <v>0.13</v>
      </c>
    </row>
    <row r="99" spans="2:19">
      <c r="B99" s="58" t="s">
        <v>134</v>
      </c>
      <c r="C99" s="58">
        <v>453.59199999999998</v>
      </c>
      <c r="D99" s="59"/>
      <c r="E99" s="59"/>
      <c r="F99" s="58">
        <v>0.453592</v>
      </c>
      <c r="G99" s="58">
        <v>5.5565020000000001</v>
      </c>
      <c r="H99" s="58">
        <v>7.7</v>
      </c>
      <c r="I99" s="58">
        <v>0.90718399999999999</v>
      </c>
      <c r="J99" s="58">
        <v>0.69399575999999996</v>
      </c>
      <c r="K99" s="58">
        <v>2.1772415999999999E-2</v>
      </c>
      <c r="L99" s="58">
        <v>1.360776E-2</v>
      </c>
      <c r="M99" s="58">
        <v>10.477975200000001</v>
      </c>
      <c r="N99">
        <v>52.9</v>
      </c>
      <c r="O99" s="58">
        <v>0.23133192</v>
      </c>
      <c r="P99" s="58">
        <v>0.113398</v>
      </c>
      <c r="Q99">
        <v>6.6</v>
      </c>
      <c r="R99">
        <v>0.21</v>
      </c>
      <c r="S99">
        <v>0.13</v>
      </c>
    </row>
    <row r="100" spans="2:19">
      <c r="B100" s="58" t="s">
        <v>134</v>
      </c>
      <c r="C100" s="58">
        <v>498.95119999999997</v>
      </c>
      <c r="D100" s="59"/>
      <c r="E100" s="59"/>
      <c r="F100" s="58">
        <v>0.453592</v>
      </c>
      <c r="G100" s="58">
        <v>5.9783425599999998</v>
      </c>
      <c r="H100" s="58">
        <v>8.3000000000000007</v>
      </c>
      <c r="I100" s="58">
        <v>0.95254320000000003</v>
      </c>
      <c r="J100" s="58">
        <v>0.72121128000000001</v>
      </c>
      <c r="K100" s="58">
        <v>2.2226008000000002E-2</v>
      </c>
      <c r="L100" s="58">
        <v>1.4514944E-2</v>
      </c>
      <c r="M100" s="58">
        <v>11.294440799999999</v>
      </c>
      <c r="N100">
        <v>53</v>
      </c>
      <c r="O100" s="58">
        <v>0.23133192</v>
      </c>
      <c r="P100" s="58">
        <v>0.113398</v>
      </c>
      <c r="Q100">
        <v>6.4</v>
      </c>
      <c r="R100">
        <v>0.2</v>
      </c>
      <c r="S100">
        <v>0.13</v>
      </c>
    </row>
    <row r="101" spans="2:19">
      <c r="B101" s="58" t="s">
        <v>134</v>
      </c>
      <c r="C101" s="58">
        <v>272.15519999999998</v>
      </c>
      <c r="F101" s="58">
        <v>0.68038799999999999</v>
      </c>
      <c r="G101" s="58">
        <v>4.1639745599999998</v>
      </c>
      <c r="H101" s="58">
        <v>5.3</v>
      </c>
      <c r="I101" s="58">
        <v>0.95254320000000003</v>
      </c>
      <c r="J101" s="58">
        <v>0.66678024000000002</v>
      </c>
      <c r="K101" s="58">
        <v>2.4040375999999999E-2</v>
      </c>
      <c r="L101" s="58">
        <v>1.2700576E-2</v>
      </c>
      <c r="M101" s="58">
        <v>7.3028312000000009</v>
      </c>
      <c r="N101">
        <v>57.1</v>
      </c>
      <c r="O101" s="58">
        <v>0.25854743999999996</v>
      </c>
      <c r="P101" s="58">
        <v>0.14061351999999999</v>
      </c>
      <c r="Q101">
        <v>9.1999999999999993</v>
      </c>
      <c r="R101">
        <v>0.33</v>
      </c>
      <c r="S101">
        <v>0.17</v>
      </c>
    </row>
    <row r="102" spans="2:19">
      <c r="B102" s="58" t="s">
        <v>134</v>
      </c>
      <c r="C102" s="58">
        <v>317.51440000000002</v>
      </c>
      <c r="F102" s="58">
        <v>0.68038799999999999</v>
      </c>
      <c r="G102" s="58">
        <v>4.6629257599999994</v>
      </c>
      <c r="H102" s="58">
        <v>5.9</v>
      </c>
      <c r="I102" s="58">
        <v>1.0886207999999999</v>
      </c>
      <c r="J102" s="58">
        <v>0.69399575999999996</v>
      </c>
      <c r="K102" s="58">
        <v>2.4493967999999998E-2</v>
      </c>
      <c r="L102" s="58">
        <v>1.3154168000000001E-2</v>
      </c>
      <c r="M102" s="58">
        <v>8.1646560000000008</v>
      </c>
      <c r="N102">
        <v>57</v>
      </c>
      <c r="O102" s="58">
        <v>0.25854743999999996</v>
      </c>
      <c r="P102" s="58">
        <v>0.14061351999999999</v>
      </c>
      <c r="Q102">
        <v>8.5</v>
      </c>
      <c r="R102">
        <v>0.3</v>
      </c>
      <c r="S102">
        <v>0.16</v>
      </c>
    </row>
    <row r="103" spans="2:19">
      <c r="B103" s="58" t="s">
        <v>134</v>
      </c>
      <c r="C103" s="58">
        <v>362.87360000000001</v>
      </c>
      <c r="F103" s="58">
        <v>0.68038799999999999</v>
      </c>
      <c r="G103" s="58">
        <v>5.1482691999999997</v>
      </c>
      <c r="H103" s="58">
        <v>6.5</v>
      </c>
      <c r="I103" s="58">
        <v>1.1793392</v>
      </c>
      <c r="J103" s="58">
        <v>0.71667535999999998</v>
      </c>
      <c r="K103" s="58">
        <v>2.4493967999999998E-2</v>
      </c>
      <c r="L103" s="58">
        <v>1.360776E-2</v>
      </c>
      <c r="M103" s="58">
        <v>9.0264807999999999</v>
      </c>
      <c r="N103">
        <v>56.9</v>
      </c>
      <c r="O103" s="58">
        <v>0.25854743999999996</v>
      </c>
      <c r="P103" s="58">
        <v>0.14061351999999999</v>
      </c>
      <c r="Q103">
        <v>7.9</v>
      </c>
      <c r="R103">
        <v>0.27</v>
      </c>
      <c r="S103">
        <v>0.15</v>
      </c>
    </row>
    <row r="104" spans="2:19">
      <c r="B104" s="58" t="s">
        <v>134</v>
      </c>
      <c r="C104" s="58">
        <v>408.2328</v>
      </c>
      <c r="F104" s="58">
        <v>0.68038799999999999</v>
      </c>
      <c r="G104" s="58">
        <v>5.6245408000000001</v>
      </c>
      <c r="H104" s="58">
        <v>7.1</v>
      </c>
      <c r="I104" s="58">
        <v>1.3154167999999999</v>
      </c>
      <c r="J104" s="58">
        <v>0.73935495999999989</v>
      </c>
      <c r="K104" s="58">
        <v>2.4947560000000001E-2</v>
      </c>
      <c r="L104" s="58">
        <v>1.4514944E-2</v>
      </c>
      <c r="M104" s="58">
        <v>9.8883056000000007</v>
      </c>
      <c r="N104">
        <v>56.9</v>
      </c>
      <c r="O104" s="58">
        <v>0.25854743999999996</v>
      </c>
      <c r="P104" s="58">
        <v>0.14061351999999999</v>
      </c>
      <c r="Q104">
        <v>7.5</v>
      </c>
      <c r="R104">
        <v>0.25</v>
      </c>
      <c r="S104">
        <v>0.15</v>
      </c>
    </row>
    <row r="105" spans="2:19">
      <c r="B105" s="58" t="s">
        <v>134</v>
      </c>
      <c r="C105" s="58">
        <v>453.59199999999998</v>
      </c>
      <c r="D105" s="59"/>
      <c r="E105" s="59"/>
      <c r="F105" s="58">
        <v>0.68038799999999999</v>
      </c>
      <c r="G105" s="58">
        <v>6.0917405599999999</v>
      </c>
      <c r="H105" s="58">
        <v>7.7</v>
      </c>
      <c r="I105" s="58">
        <v>1.4061352</v>
      </c>
      <c r="J105" s="58">
        <v>0.76203455999999992</v>
      </c>
      <c r="K105" s="58">
        <v>2.5401152E-2</v>
      </c>
      <c r="L105" s="58">
        <v>1.4968536000000001E-2</v>
      </c>
      <c r="M105" s="58">
        <v>10.7047712</v>
      </c>
      <c r="N105">
        <v>56.9</v>
      </c>
      <c r="O105" s="58">
        <v>0.25854743999999996</v>
      </c>
      <c r="P105" s="58">
        <v>0.14061351999999999</v>
      </c>
      <c r="Q105">
        <v>7.1</v>
      </c>
      <c r="R105">
        <v>0.24</v>
      </c>
      <c r="S105">
        <v>0.14000000000000001</v>
      </c>
    </row>
    <row r="106" spans="2:19">
      <c r="B106" s="58" t="s">
        <v>134</v>
      </c>
      <c r="C106" s="58">
        <v>498.95119999999997</v>
      </c>
      <c r="D106" s="59"/>
      <c r="E106" s="59"/>
      <c r="F106" s="58">
        <v>0.68038799999999999</v>
      </c>
      <c r="G106" s="58">
        <v>6.5544043999999992</v>
      </c>
      <c r="H106" s="58">
        <v>8.3000000000000007</v>
      </c>
      <c r="I106" s="58">
        <v>1.5422127999999999</v>
      </c>
      <c r="J106" s="58">
        <v>0.78471415999999994</v>
      </c>
      <c r="K106" s="58">
        <v>2.5854743999999999E-2</v>
      </c>
      <c r="L106" s="58">
        <v>1.5875720000000003E-2</v>
      </c>
      <c r="M106" s="58">
        <v>11.4758776</v>
      </c>
      <c r="N106">
        <v>57</v>
      </c>
      <c r="O106" s="58">
        <v>0.25854743999999996</v>
      </c>
      <c r="P106" s="58">
        <v>0.14061351999999999</v>
      </c>
      <c r="Q106">
        <v>6.8</v>
      </c>
      <c r="R106">
        <v>0.22</v>
      </c>
      <c r="S106">
        <v>0.14000000000000001</v>
      </c>
    </row>
    <row r="107" spans="2:19">
      <c r="B107" s="58" t="s">
        <v>134</v>
      </c>
      <c r="C107" s="58">
        <v>272.15519999999998</v>
      </c>
      <c r="F107" s="58">
        <v>0.90718399999999999</v>
      </c>
      <c r="G107" s="58">
        <v>4.4950967200000003</v>
      </c>
      <c r="H107" s="58">
        <v>5.3</v>
      </c>
      <c r="I107" s="58">
        <v>1.3154167999999999</v>
      </c>
      <c r="J107" s="58">
        <v>0.76203455999999992</v>
      </c>
      <c r="K107" s="58">
        <v>2.9029888E-2</v>
      </c>
      <c r="L107" s="58">
        <v>1.4514944E-2</v>
      </c>
      <c r="M107" s="58">
        <v>7.3028312000000009</v>
      </c>
      <c r="N107">
        <v>61.4</v>
      </c>
      <c r="O107" s="58">
        <v>0.29029887999999998</v>
      </c>
      <c r="P107" s="58">
        <v>0.16782903999999998</v>
      </c>
      <c r="Q107">
        <v>10.4</v>
      </c>
      <c r="R107">
        <v>0.4</v>
      </c>
      <c r="S107">
        <v>0.2</v>
      </c>
    </row>
    <row r="108" spans="2:19">
      <c r="B108" s="58" t="s">
        <v>134</v>
      </c>
      <c r="C108" s="58">
        <v>317.51440000000002</v>
      </c>
      <c r="F108" s="58">
        <v>0.90718399999999999</v>
      </c>
      <c r="G108" s="58">
        <v>5.0348711999999995</v>
      </c>
      <c r="H108" s="58">
        <v>5.9</v>
      </c>
      <c r="I108" s="58">
        <v>1.4968535999999999</v>
      </c>
      <c r="J108" s="58">
        <v>0.78017824000000002</v>
      </c>
      <c r="K108" s="58">
        <v>2.9029888E-2</v>
      </c>
      <c r="L108" s="58">
        <v>1.4968536000000001E-2</v>
      </c>
      <c r="M108" s="58">
        <v>8.2100152000000008</v>
      </c>
      <c r="N108">
        <v>61.3</v>
      </c>
      <c r="O108" s="58">
        <v>0.29029887999999998</v>
      </c>
      <c r="P108" s="58">
        <v>0.16782903999999998</v>
      </c>
      <c r="Q108">
        <v>9.5</v>
      </c>
      <c r="R108">
        <v>0.35</v>
      </c>
      <c r="S108">
        <v>0.18</v>
      </c>
    </row>
    <row r="109" spans="2:19">
      <c r="B109" s="58" t="s">
        <v>134</v>
      </c>
      <c r="C109" s="58">
        <v>362.87360000000001</v>
      </c>
      <c r="F109" s="58">
        <v>0.90718399999999999</v>
      </c>
      <c r="G109" s="58">
        <v>5.5565020000000001</v>
      </c>
      <c r="H109" s="58">
        <v>6.5</v>
      </c>
      <c r="I109" s="58">
        <v>1.6329312</v>
      </c>
      <c r="J109" s="58">
        <v>0.79378599999999999</v>
      </c>
      <c r="K109" s="58">
        <v>2.8576296000000001E-2</v>
      </c>
      <c r="L109" s="58">
        <v>1.5422128E-2</v>
      </c>
      <c r="M109" s="58">
        <v>9.0718399999999999</v>
      </c>
      <c r="N109">
        <v>61.2</v>
      </c>
      <c r="O109" s="58">
        <v>0.28576296000000001</v>
      </c>
      <c r="P109" s="58">
        <v>0.16782903999999998</v>
      </c>
      <c r="Q109">
        <v>8.8000000000000007</v>
      </c>
      <c r="R109">
        <v>0.32</v>
      </c>
      <c r="S109">
        <v>0.17</v>
      </c>
    </row>
    <row r="110" spans="2:19">
      <c r="B110" s="58" t="s">
        <v>134</v>
      </c>
      <c r="C110" s="58">
        <v>408.2328</v>
      </c>
      <c r="F110" s="58">
        <v>0.90718399999999999</v>
      </c>
      <c r="G110" s="58">
        <v>6.0735968800000002</v>
      </c>
      <c r="H110" s="58">
        <v>7.1</v>
      </c>
      <c r="I110" s="58">
        <v>1.814368</v>
      </c>
      <c r="J110" s="58">
        <v>0.81192967999999999</v>
      </c>
      <c r="K110" s="58">
        <v>2.8576296000000001E-2</v>
      </c>
      <c r="L110" s="58">
        <v>1.5875720000000003E-2</v>
      </c>
      <c r="M110" s="58">
        <v>9.933664799999999</v>
      </c>
      <c r="N110">
        <v>61.2</v>
      </c>
      <c r="O110" s="58">
        <v>0.28576296000000001</v>
      </c>
      <c r="P110" s="58">
        <v>0.16782903999999998</v>
      </c>
      <c r="Q110">
        <v>8.1999999999999993</v>
      </c>
      <c r="R110">
        <v>0.28999999999999998</v>
      </c>
      <c r="S110">
        <v>0.16</v>
      </c>
    </row>
    <row r="111" spans="2:19">
      <c r="B111" s="58" t="s">
        <v>134</v>
      </c>
      <c r="C111" s="58">
        <v>453.59199999999998</v>
      </c>
      <c r="D111" s="59"/>
      <c r="E111" s="59"/>
      <c r="F111" s="58">
        <v>0.90718399999999999</v>
      </c>
      <c r="G111" s="58">
        <v>6.5770840000000002</v>
      </c>
      <c r="H111" s="58">
        <v>7.7</v>
      </c>
      <c r="I111" s="58">
        <v>1.9504455999999999</v>
      </c>
      <c r="J111" s="58">
        <v>0.82553744000000007</v>
      </c>
      <c r="K111" s="58">
        <v>2.8576296000000001E-2</v>
      </c>
      <c r="L111" s="58">
        <v>1.6329311999999999E-2</v>
      </c>
      <c r="M111" s="58">
        <v>10.7501304</v>
      </c>
      <c r="N111">
        <v>61.2</v>
      </c>
      <c r="O111" s="58">
        <v>0.28576296000000001</v>
      </c>
      <c r="P111" s="58">
        <v>0.16782903999999998</v>
      </c>
      <c r="Q111">
        <v>7.7</v>
      </c>
      <c r="R111">
        <v>0.27</v>
      </c>
      <c r="S111">
        <v>0.15</v>
      </c>
    </row>
    <row r="112" spans="2:19">
      <c r="B112" s="58" t="s">
        <v>134</v>
      </c>
      <c r="C112" s="58">
        <v>498.95119999999997</v>
      </c>
      <c r="D112" s="59"/>
      <c r="E112" s="59"/>
      <c r="F112" s="58">
        <v>0.90718399999999999</v>
      </c>
      <c r="G112" s="58">
        <v>7.0714992800000003</v>
      </c>
      <c r="H112" s="58">
        <v>8.3000000000000007</v>
      </c>
      <c r="I112" s="58">
        <v>2.0865231999999998</v>
      </c>
      <c r="J112" s="58">
        <v>0.84368112000000006</v>
      </c>
      <c r="K112" s="58">
        <v>2.8576296000000001E-2</v>
      </c>
      <c r="L112" s="58">
        <v>1.6782903999999998E-2</v>
      </c>
      <c r="M112" s="58">
        <v>11.521236799999999</v>
      </c>
      <c r="N112">
        <v>61.3</v>
      </c>
      <c r="O112" s="58">
        <v>0.29029887999999998</v>
      </c>
      <c r="P112" s="58">
        <v>0.16782903999999998</v>
      </c>
      <c r="Q112">
        <v>7.3</v>
      </c>
      <c r="R112">
        <v>0.25</v>
      </c>
      <c r="S112">
        <v>0.15</v>
      </c>
    </row>
    <row r="113" spans="2:19">
      <c r="B113" s="58" t="s">
        <v>134</v>
      </c>
      <c r="C113" s="58">
        <v>272.15519999999998</v>
      </c>
      <c r="F113" s="58">
        <v>1.13398</v>
      </c>
      <c r="G113" s="58">
        <v>4.7990033600000004</v>
      </c>
      <c r="H113" s="58">
        <v>5.3</v>
      </c>
      <c r="I113" s="58">
        <v>1.6782904000000001</v>
      </c>
      <c r="J113" s="58">
        <v>0.85275295999999989</v>
      </c>
      <c r="K113" s="58">
        <v>3.4019399999999998E-2</v>
      </c>
      <c r="L113" s="58">
        <v>1.6782903999999998E-2</v>
      </c>
      <c r="M113" s="58">
        <v>7.2574719999999999</v>
      </c>
      <c r="N113">
        <v>66.2</v>
      </c>
      <c r="O113" s="58">
        <v>0.32205032</v>
      </c>
      <c r="P113" s="58">
        <v>0.19958048</v>
      </c>
      <c r="Q113">
        <v>11.8</v>
      </c>
      <c r="R113">
        <v>0.47</v>
      </c>
      <c r="S113">
        <v>0.23</v>
      </c>
    </row>
    <row r="114" spans="2:19">
      <c r="B114" s="58" t="s">
        <v>134</v>
      </c>
      <c r="C114" s="58">
        <v>317.51440000000002</v>
      </c>
      <c r="F114" s="58">
        <v>1.13398</v>
      </c>
      <c r="G114" s="58">
        <v>5.3796011199999993</v>
      </c>
      <c r="H114" s="58">
        <v>5.9</v>
      </c>
      <c r="I114" s="58">
        <v>1.9050864000000001</v>
      </c>
      <c r="J114" s="58">
        <v>0.86182479999999995</v>
      </c>
      <c r="K114" s="58">
        <v>3.3565807999999996E-2</v>
      </c>
      <c r="L114" s="58">
        <v>1.6782903999999998E-2</v>
      </c>
      <c r="M114" s="58">
        <v>8.1646560000000008</v>
      </c>
      <c r="N114">
        <v>66</v>
      </c>
      <c r="O114" s="58">
        <v>0.32205032</v>
      </c>
      <c r="P114" s="58">
        <v>0.19958048</v>
      </c>
      <c r="Q114">
        <v>10.6</v>
      </c>
      <c r="R114">
        <v>0.41</v>
      </c>
      <c r="S114">
        <v>0.21</v>
      </c>
    </row>
    <row r="115" spans="2:19">
      <c r="B115" s="58" t="s">
        <v>134</v>
      </c>
      <c r="C115" s="58">
        <v>362.87360000000001</v>
      </c>
      <c r="F115" s="58">
        <v>1.13398</v>
      </c>
      <c r="G115" s="58">
        <v>5.9375192800000001</v>
      </c>
      <c r="H115" s="58">
        <v>6.5</v>
      </c>
      <c r="I115" s="58">
        <v>2.0865231999999998</v>
      </c>
      <c r="J115" s="58">
        <v>0.87089664</v>
      </c>
      <c r="K115" s="58">
        <v>3.3112216E-2</v>
      </c>
      <c r="L115" s="58">
        <v>1.7236496E-2</v>
      </c>
      <c r="M115" s="58">
        <v>8.9811215999999998</v>
      </c>
      <c r="N115">
        <v>66</v>
      </c>
      <c r="O115" s="58">
        <v>0.32205032</v>
      </c>
      <c r="P115" s="58">
        <v>0.19504456000000001</v>
      </c>
      <c r="Q115">
        <v>9.6999999999999993</v>
      </c>
      <c r="R115">
        <v>0.37</v>
      </c>
      <c r="S115">
        <v>0.19</v>
      </c>
    </row>
    <row r="116" spans="2:19">
      <c r="B116" s="58" t="s">
        <v>134</v>
      </c>
      <c r="C116" s="58">
        <v>408.2328</v>
      </c>
      <c r="F116" s="58">
        <v>1.13398</v>
      </c>
      <c r="G116" s="58">
        <v>6.4863656000000001</v>
      </c>
      <c r="H116" s="58">
        <v>7.1</v>
      </c>
      <c r="I116" s="58">
        <v>2.26796</v>
      </c>
      <c r="J116" s="58">
        <v>0.87996847999999994</v>
      </c>
      <c r="K116" s="58">
        <v>3.2658623999999997E-2</v>
      </c>
      <c r="L116" s="58">
        <v>1.7236496E-2</v>
      </c>
      <c r="M116" s="58">
        <v>9.8429463999999989</v>
      </c>
      <c r="N116">
        <v>65.900000000000006</v>
      </c>
      <c r="O116" s="58">
        <v>0.32205032</v>
      </c>
      <c r="P116" s="58">
        <v>0.19504456000000001</v>
      </c>
      <c r="Q116">
        <v>9</v>
      </c>
      <c r="R116">
        <v>0.33</v>
      </c>
      <c r="S116">
        <v>0.18</v>
      </c>
    </row>
    <row r="117" spans="2:19">
      <c r="B117" s="58" t="s">
        <v>134</v>
      </c>
      <c r="C117" s="58">
        <v>453.59199999999998</v>
      </c>
      <c r="D117" s="59"/>
      <c r="E117" s="59"/>
      <c r="F117" s="58">
        <v>1.13398</v>
      </c>
      <c r="G117" s="58">
        <v>7.0261400800000002</v>
      </c>
      <c r="H117" s="58">
        <v>7.7</v>
      </c>
      <c r="I117" s="58">
        <v>2.4947559999999998</v>
      </c>
      <c r="J117" s="58">
        <v>0.88904032</v>
      </c>
      <c r="K117" s="58">
        <v>3.2205031999999995E-2</v>
      </c>
      <c r="L117" s="58">
        <v>1.7690088E-2</v>
      </c>
      <c r="M117" s="58">
        <v>10.659412</v>
      </c>
      <c r="N117">
        <v>66</v>
      </c>
      <c r="O117" s="58">
        <v>0.32205032</v>
      </c>
      <c r="P117" s="58">
        <v>0.19504456000000001</v>
      </c>
      <c r="Q117">
        <v>8.4</v>
      </c>
      <c r="R117">
        <v>0.3</v>
      </c>
      <c r="S117">
        <v>0.17</v>
      </c>
    </row>
    <row r="118" spans="2:19">
      <c r="B118" s="58" t="s">
        <v>134</v>
      </c>
      <c r="C118" s="58">
        <v>498.95119999999997</v>
      </c>
      <c r="D118" s="59"/>
      <c r="E118" s="59"/>
      <c r="F118" s="58">
        <v>1.13398</v>
      </c>
      <c r="G118" s="58">
        <v>7.5477708799999998</v>
      </c>
      <c r="H118" s="58">
        <v>8.3000000000000007</v>
      </c>
      <c r="I118" s="58">
        <v>2.6761927999999999</v>
      </c>
      <c r="J118" s="58">
        <v>0.89811215999999994</v>
      </c>
      <c r="K118" s="58">
        <v>3.1751440000000006E-2</v>
      </c>
      <c r="L118" s="58">
        <v>1.8143679999999999E-2</v>
      </c>
      <c r="M118" s="58">
        <v>11.4305184</v>
      </c>
      <c r="N118">
        <v>66</v>
      </c>
      <c r="O118" s="58">
        <v>0.32205032</v>
      </c>
      <c r="P118" s="58">
        <v>0.19958048</v>
      </c>
      <c r="Q118">
        <v>7.9</v>
      </c>
      <c r="R118">
        <v>0.28000000000000003</v>
      </c>
      <c r="S118">
        <v>0.16</v>
      </c>
    </row>
    <row r="119" spans="2:19">
      <c r="B119" s="58" t="s">
        <v>134</v>
      </c>
      <c r="C119" s="58">
        <v>272.15519999999998</v>
      </c>
      <c r="F119" s="58">
        <v>1.360776</v>
      </c>
      <c r="G119" s="58">
        <v>5.08476632</v>
      </c>
      <c r="H119" s="58">
        <v>5.3</v>
      </c>
      <c r="I119" s="58">
        <v>2.0411640000000002</v>
      </c>
      <c r="J119" s="58">
        <v>0.94347135999999998</v>
      </c>
      <c r="K119" s="58">
        <v>3.9008912E-2</v>
      </c>
      <c r="L119" s="58">
        <v>1.8597272000000001E-2</v>
      </c>
      <c r="M119" s="58">
        <v>7.0760351999999997</v>
      </c>
      <c r="N119">
        <v>71.8</v>
      </c>
      <c r="O119" s="58">
        <v>0.35833767999999999</v>
      </c>
      <c r="P119" s="58">
        <v>0.23133192</v>
      </c>
      <c r="Q119">
        <v>13.3</v>
      </c>
      <c r="R119">
        <v>0.55000000000000004</v>
      </c>
      <c r="S119">
        <v>0.26</v>
      </c>
    </row>
    <row r="120" spans="2:19">
      <c r="B120" s="58" t="s">
        <v>134</v>
      </c>
      <c r="C120" s="58">
        <v>317.51440000000002</v>
      </c>
      <c r="F120" s="58">
        <v>1.360776</v>
      </c>
      <c r="G120" s="58">
        <v>5.6971155200000005</v>
      </c>
      <c r="H120" s="58">
        <v>5.9</v>
      </c>
      <c r="I120" s="58">
        <v>2.3133192</v>
      </c>
      <c r="J120" s="58">
        <v>0.9480072799999999</v>
      </c>
      <c r="K120" s="58">
        <v>3.7648135999999999E-2</v>
      </c>
      <c r="L120" s="58">
        <v>1.8597272000000001E-2</v>
      </c>
      <c r="M120" s="58">
        <v>7.9832192000000006</v>
      </c>
      <c r="N120">
        <v>71.599999999999994</v>
      </c>
      <c r="O120" s="58">
        <v>0.35833767999999999</v>
      </c>
      <c r="P120" s="58">
        <v>0.23133192</v>
      </c>
      <c r="Q120">
        <v>11.9</v>
      </c>
      <c r="R120">
        <v>0.48</v>
      </c>
      <c r="S120">
        <v>0.23</v>
      </c>
    </row>
    <row r="121" spans="2:19">
      <c r="B121" s="58" t="s">
        <v>134</v>
      </c>
      <c r="C121" s="58">
        <v>362.87360000000001</v>
      </c>
      <c r="F121" s="58">
        <v>1.360776</v>
      </c>
      <c r="G121" s="58">
        <v>6.2958569600000001</v>
      </c>
      <c r="H121" s="58">
        <v>6.5</v>
      </c>
      <c r="I121" s="58">
        <v>2.5401151999999998</v>
      </c>
      <c r="J121" s="58">
        <v>0.9480072799999999</v>
      </c>
      <c r="K121" s="58">
        <v>3.6740952E-2</v>
      </c>
      <c r="L121" s="58">
        <v>1.8597272000000001E-2</v>
      </c>
      <c r="M121" s="58">
        <v>8.7996847999999996</v>
      </c>
      <c r="N121">
        <v>71.5</v>
      </c>
      <c r="O121" s="58">
        <v>0.35833767999999999</v>
      </c>
      <c r="P121" s="58">
        <v>0.23133192</v>
      </c>
      <c r="Q121">
        <v>10.8</v>
      </c>
      <c r="R121">
        <v>0.42</v>
      </c>
      <c r="S121">
        <v>0.21</v>
      </c>
    </row>
    <row r="122" spans="2:19">
      <c r="B122" s="58" t="s">
        <v>134</v>
      </c>
      <c r="C122" s="58">
        <v>408.2328</v>
      </c>
      <c r="F122" s="58">
        <v>1.360776</v>
      </c>
      <c r="G122" s="58">
        <v>6.8764547199999999</v>
      </c>
      <c r="H122" s="58">
        <v>7.1</v>
      </c>
      <c r="I122" s="58">
        <v>2.8122704000000001</v>
      </c>
      <c r="J122" s="58">
        <v>0.9480072799999999</v>
      </c>
      <c r="K122" s="58">
        <v>3.6287359999999998E-2</v>
      </c>
      <c r="L122" s="58">
        <v>1.9050864000000001E-2</v>
      </c>
      <c r="M122" s="58">
        <v>9.6161504000000004</v>
      </c>
      <c r="N122">
        <v>71.5</v>
      </c>
      <c r="O122" s="58">
        <v>0.35833767999999999</v>
      </c>
      <c r="P122" s="58">
        <v>0.23133192</v>
      </c>
      <c r="Q122">
        <v>9.9</v>
      </c>
      <c r="R122">
        <v>0.38</v>
      </c>
      <c r="S122">
        <v>0.2</v>
      </c>
    </row>
    <row r="123" spans="2:19">
      <c r="B123" s="58" t="s">
        <v>134</v>
      </c>
      <c r="C123" s="58">
        <v>453.59199999999998</v>
      </c>
      <c r="D123" s="59"/>
      <c r="E123" s="59"/>
      <c r="F123" s="58">
        <v>1.360776</v>
      </c>
      <c r="G123" s="58">
        <v>7.4434447199999996</v>
      </c>
      <c r="H123" s="58">
        <v>7.7</v>
      </c>
      <c r="I123" s="58">
        <v>3.0390663999999998</v>
      </c>
      <c r="J123" s="58">
        <v>0.95254320000000003</v>
      </c>
      <c r="K123" s="58">
        <v>3.5380175999999999E-2</v>
      </c>
      <c r="L123" s="58">
        <v>1.9050864000000001E-2</v>
      </c>
      <c r="M123" s="58">
        <v>10.387256799999999</v>
      </c>
      <c r="N123">
        <v>71.599999999999994</v>
      </c>
      <c r="O123" s="58">
        <v>0.35833767999999999</v>
      </c>
      <c r="P123" s="58">
        <v>0.23133192</v>
      </c>
      <c r="Q123">
        <v>9.1</v>
      </c>
      <c r="R123">
        <v>0.34</v>
      </c>
      <c r="S123">
        <v>0.18</v>
      </c>
    </row>
    <row r="124" spans="2:19">
      <c r="B124" s="58" t="s">
        <v>134</v>
      </c>
      <c r="C124" s="58">
        <v>498.95119999999997</v>
      </c>
      <c r="D124" s="59"/>
      <c r="E124" s="59"/>
      <c r="F124" s="58">
        <v>1.360776</v>
      </c>
      <c r="G124" s="58">
        <v>8.0013628800000003</v>
      </c>
      <c r="H124" s="58">
        <v>8.3000000000000007</v>
      </c>
      <c r="I124" s="58">
        <v>3.2658624000000001</v>
      </c>
      <c r="J124" s="58">
        <v>0.95254320000000003</v>
      </c>
      <c r="K124" s="58">
        <v>3.4472992000000001E-2</v>
      </c>
      <c r="L124" s="58">
        <v>1.9504456E-2</v>
      </c>
      <c r="M124" s="58">
        <v>11.1583632</v>
      </c>
      <c r="N124">
        <v>71.599999999999994</v>
      </c>
      <c r="O124" s="58">
        <v>0.35833767999999999</v>
      </c>
      <c r="P124" s="58">
        <v>0.23133192</v>
      </c>
      <c r="Q124">
        <v>8.5</v>
      </c>
      <c r="R124">
        <v>0.31</v>
      </c>
      <c r="S124">
        <v>0.17</v>
      </c>
    </row>
    <row r="125" spans="2:19">
      <c r="B125" s="58" t="s">
        <v>134</v>
      </c>
      <c r="C125" s="58">
        <v>272.15519999999998</v>
      </c>
      <c r="F125" s="58">
        <v>1.4968535999999999</v>
      </c>
      <c r="G125" s="58">
        <v>5.2525953599999999</v>
      </c>
      <c r="H125" s="58">
        <v>5.3</v>
      </c>
      <c r="I125" s="58">
        <v>2.3133192</v>
      </c>
      <c r="J125" s="58">
        <v>0.99790240000000008</v>
      </c>
      <c r="K125" s="58">
        <v>4.1730464000000002E-2</v>
      </c>
      <c r="L125" s="58">
        <v>1.9958047999999999E-2</v>
      </c>
      <c r="M125" s="58">
        <v>6.9399576000000005</v>
      </c>
      <c r="N125">
        <v>75.8</v>
      </c>
      <c r="O125" s="58">
        <v>0.38555319999999998</v>
      </c>
      <c r="P125" s="58">
        <v>0.25401152000000005</v>
      </c>
      <c r="Q125">
        <v>14.4</v>
      </c>
      <c r="R125">
        <v>0.6</v>
      </c>
      <c r="S125">
        <v>0.28000000000000003</v>
      </c>
    </row>
    <row r="126" spans="2:19">
      <c r="B126" s="58" t="s">
        <v>134</v>
      </c>
      <c r="C126" s="58">
        <v>317.51440000000002</v>
      </c>
      <c r="F126" s="58">
        <v>1.4968535999999999</v>
      </c>
      <c r="G126" s="58">
        <v>5.8785523200000007</v>
      </c>
      <c r="H126" s="58">
        <v>5.9</v>
      </c>
      <c r="I126" s="58">
        <v>2.5854743999999998</v>
      </c>
      <c r="J126" s="58">
        <v>0.99336647999999994</v>
      </c>
      <c r="K126" s="58">
        <v>4.0369688000000001E-2</v>
      </c>
      <c r="L126" s="58">
        <v>1.9504456E-2</v>
      </c>
      <c r="M126" s="58">
        <v>7.8017823999999996</v>
      </c>
      <c r="N126">
        <v>75.5</v>
      </c>
      <c r="O126" s="58">
        <v>0.38101727999999996</v>
      </c>
      <c r="P126" s="58">
        <v>0.25401152000000005</v>
      </c>
      <c r="Q126">
        <v>12.8</v>
      </c>
      <c r="R126">
        <v>0.52</v>
      </c>
      <c r="S126">
        <v>0.25</v>
      </c>
    </row>
    <row r="127" spans="2:19">
      <c r="B127" s="58" t="s">
        <v>134</v>
      </c>
      <c r="C127" s="58">
        <v>362.87360000000001</v>
      </c>
      <c r="F127" s="58">
        <v>1.4968535999999999</v>
      </c>
      <c r="G127" s="58">
        <v>6.4954374399999999</v>
      </c>
      <c r="H127" s="58">
        <v>6.5</v>
      </c>
      <c r="I127" s="58">
        <v>2.8576296000000001</v>
      </c>
      <c r="J127" s="58">
        <v>0.99336647999999994</v>
      </c>
      <c r="K127" s="58">
        <v>3.9462503999999995E-2</v>
      </c>
      <c r="L127" s="58">
        <v>1.9958047999999999E-2</v>
      </c>
      <c r="M127" s="58">
        <v>8.6182479999999995</v>
      </c>
      <c r="N127">
        <v>75.400000000000006</v>
      </c>
      <c r="O127" s="58">
        <v>0.38101727999999996</v>
      </c>
      <c r="P127" s="58">
        <v>0.25401152000000005</v>
      </c>
      <c r="Q127">
        <v>11.5</v>
      </c>
      <c r="R127">
        <v>0.46</v>
      </c>
      <c r="S127">
        <v>0.23</v>
      </c>
    </row>
    <row r="128" spans="2:19">
      <c r="B128" s="58" t="s">
        <v>134</v>
      </c>
      <c r="C128" s="58">
        <v>408.2328</v>
      </c>
      <c r="F128" s="58">
        <v>1.4968535999999999</v>
      </c>
      <c r="G128" s="58">
        <v>7.0987147999999998</v>
      </c>
      <c r="H128" s="58">
        <v>7.1</v>
      </c>
      <c r="I128" s="58">
        <v>3.0844255999999999</v>
      </c>
      <c r="J128" s="58">
        <v>0.98883056000000003</v>
      </c>
      <c r="K128" s="58">
        <v>3.8101728000000001E-2</v>
      </c>
      <c r="L128" s="58">
        <v>1.9958047999999999E-2</v>
      </c>
      <c r="M128" s="58">
        <v>9.3893544000000002</v>
      </c>
      <c r="N128">
        <v>75.400000000000006</v>
      </c>
      <c r="O128" s="58">
        <v>0.38101727999999996</v>
      </c>
      <c r="P128" s="58">
        <v>0.25401152000000005</v>
      </c>
      <c r="Q128">
        <v>10.5</v>
      </c>
      <c r="R128">
        <v>0.41</v>
      </c>
      <c r="S128">
        <v>0.21</v>
      </c>
    </row>
    <row r="129" spans="1:19">
      <c r="B129" s="58" t="s">
        <v>134</v>
      </c>
      <c r="C129" s="58">
        <v>453.59199999999998</v>
      </c>
      <c r="D129" s="59"/>
      <c r="E129" s="59"/>
      <c r="F129" s="58">
        <v>1.4968535999999999</v>
      </c>
      <c r="G129" s="58">
        <v>7.6838484800000009</v>
      </c>
      <c r="H129" s="58">
        <v>7.7</v>
      </c>
      <c r="I129" s="58">
        <v>3.3565808000000001</v>
      </c>
      <c r="J129" s="58">
        <v>0.98429464</v>
      </c>
      <c r="K129" s="58">
        <v>3.7194544000000003E-2</v>
      </c>
      <c r="L129" s="58">
        <v>1.9958047999999999E-2</v>
      </c>
      <c r="M129" s="58">
        <v>10.160460799999999</v>
      </c>
      <c r="N129">
        <v>75.5</v>
      </c>
      <c r="O129" s="58">
        <v>0.38101727999999996</v>
      </c>
      <c r="P129" s="58">
        <v>0.25401152000000005</v>
      </c>
      <c r="Q129">
        <v>9.6999999999999993</v>
      </c>
      <c r="R129">
        <v>0.37</v>
      </c>
      <c r="S129">
        <v>0.2</v>
      </c>
    </row>
    <row r="130" spans="1:19">
      <c r="B130" s="58" t="s">
        <v>134</v>
      </c>
      <c r="C130" s="58">
        <v>498.95119999999997</v>
      </c>
      <c r="D130" s="59"/>
      <c r="E130" s="59"/>
      <c r="F130" s="58">
        <v>1.4968535999999999</v>
      </c>
      <c r="G130" s="58">
        <v>8.2599103199999995</v>
      </c>
      <c r="H130" s="58">
        <v>8.3000000000000007</v>
      </c>
      <c r="I130" s="58">
        <v>3.628736</v>
      </c>
      <c r="J130" s="58">
        <v>0.98429464</v>
      </c>
      <c r="K130" s="58">
        <v>3.6287359999999998E-2</v>
      </c>
      <c r="L130" s="58">
        <v>1.9958047999999999E-2</v>
      </c>
      <c r="M130" s="58">
        <v>10.9315672</v>
      </c>
      <c r="N130">
        <v>75.599999999999994</v>
      </c>
      <c r="O130" s="58">
        <v>0.38555319999999998</v>
      </c>
      <c r="P130" s="58">
        <v>0.25401152000000005</v>
      </c>
      <c r="Q130">
        <v>9</v>
      </c>
      <c r="R130">
        <v>0.33</v>
      </c>
      <c r="S130">
        <v>0.18</v>
      </c>
    </row>
    <row r="131" spans="1:19">
      <c r="B131" s="58" t="s">
        <v>134</v>
      </c>
      <c r="C131" s="58" t="s">
        <v>134</v>
      </c>
      <c r="F131" s="58" t="s">
        <v>134</v>
      </c>
      <c r="G131" s="58">
        <v>0</v>
      </c>
      <c r="H131" s="58">
        <v>0</v>
      </c>
      <c r="I131" s="58">
        <v>0</v>
      </c>
      <c r="J131" s="58">
        <v>0</v>
      </c>
      <c r="K131" s="58">
        <v>0</v>
      </c>
      <c r="L131" s="58">
        <v>0</v>
      </c>
      <c r="M131" s="58"/>
      <c r="O131" s="58"/>
      <c r="P131" s="58"/>
    </row>
    <row r="132" spans="1:19">
      <c r="B132" s="58" t="s">
        <v>134</v>
      </c>
      <c r="C132" s="58" t="s">
        <v>134</v>
      </c>
      <c r="F132" s="58" t="s">
        <v>134</v>
      </c>
      <c r="G132" s="58" t="e">
        <v>#VALUE!</v>
      </c>
      <c r="H132" s="58">
        <v>0</v>
      </c>
      <c r="I132" s="58">
        <v>0</v>
      </c>
      <c r="J132" s="58">
        <v>0</v>
      </c>
      <c r="K132" s="58">
        <v>0</v>
      </c>
      <c r="L132" s="58">
        <v>0</v>
      </c>
    </row>
    <row r="133" spans="1:19" ht="26">
      <c r="A133" t="s">
        <v>42</v>
      </c>
      <c r="B133" s="58" t="s">
        <v>132</v>
      </c>
      <c r="C133" s="58" t="s">
        <v>128</v>
      </c>
      <c r="F133" s="55" t="s">
        <v>133</v>
      </c>
      <c r="G133" s="58" t="s">
        <v>130</v>
      </c>
      <c r="H133" s="58" t="s">
        <v>23</v>
      </c>
      <c r="I133" s="58" t="s">
        <v>129</v>
      </c>
      <c r="J133" s="58" t="s">
        <v>117</v>
      </c>
      <c r="K133" s="58" t="s">
        <v>118</v>
      </c>
      <c r="L133" s="58" t="s">
        <v>119</v>
      </c>
      <c r="M133" s="58" t="s">
        <v>120</v>
      </c>
      <c r="N133" t="s">
        <v>16</v>
      </c>
      <c r="O133" s="58" t="s">
        <v>126</v>
      </c>
      <c r="P133" s="58" t="s">
        <v>127</v>
      </c>
      <c r="Q133" t="s">
        <v>18</v>
      </c>
      <c r="R133" t="s">
        <v>19</v>
      </c>
      <c r="S133" t="s">
        <v>20</v>
      </c>
    </row>
    <row r="134" spans="1:19">
      <c r="B134" s="58">
        <v>997.90239999999994</v>
      </c>
      <c r="C134" s="58">
        <v>226.79599999999999</v>
      </c>
      <c r="F134" s="58">
        <v>0.453592</v>
      </c>
      <c r="G134" s="58">
        <v>3.05267416</v>
      </c>
      <c r="H134" s="58">
        <v>5.3</v>
      </c>
      <c r="I134" s="58">
        <v>0.36287360000000002</v>
      </c>
      <c r="J134" s="58">
        <v>0.52163079999999995</v>
      </c>
      <c r="K134" s="58">
        <v>1.9958047999999999E-2</v>
      </c>
      <c r="L134" s="58">
        <v>1.0432616E-2</v>
      </c>
      <c r="M134" s="58">
        <v>5.1255896000000005</v>
      </c>
      <c r="N134">
        <v>59.6</v>
      </c>
      <c r="O134" s="58">
        <v>0.26761927999999996</v>
      </c>
      <c r="P134" s="58">
        <v>0.14968536000000002</v>
      </c>
      <c r="Q134">
        <v>10.199999999999999</v>
      </c>
      <c r="R134">
        <v>0.39</v>
      </c>
      <c r="S134">
        <v>0.21</v>
      </c>
    </row>
    <row r="135" spans="1:19">
      <c r="B135" s="58" t="s">
        <v>134</v>
      </c>
      <c r="C135" s="58">
        <v>272.15519999999998</v>
      </c>
      <c r="F135" s="58">
        <v>0.453592</v>
      </c>
      <c r="G135" s="58">
        <v>3.50626616</v>
      </c>
      <c r="H135" s="58">
        <v>6.1</v>
      </c>
      <c r="I135" s="58">
        <v>0.36287360000000002</v>
      </c>
      <c r="J135" s="58">
        <v>0.56245407999999997</v>
      </c>
      <c r="K135" s="58">
        <v>2.0865232000000001E-2</v>
      </c>
      <c r="L135" s="58">
        <v>1.1339800000000001E-2</v>
      </c>
      <c r="M135" s="58">
        <v>5.8513368000000003</v>
      </c>
      <c r="N135">
        <v>59.7</v>
      </c>
      <c r="O135" s="58">
        <v>0.26761927999999996</v>
      </c>
      <c r="P135" s="58">
        <v>0.14968536000000002</v>
      </c>
      <c r="Q135">
        <v>9.5</v>
      </c>
      <c r="R135">
        <v>0.36</v>
      </c>
      <c r="S135">
        <v>0.19</v>
      </c>
    </row>
    <row r="136" spans="1:19">
      <c r="B136" s="58" t="s">
        <v>134</v>
      </c>
      <c r="C136" s="58">
        <v>317.51440000000002</v>
      </c>
      <c r="F136" s="58">
        <v>0.453592</v>
      </c>
      <c r="G136" s="58">
        <v>3.9235708000000002</v>
      </c>
      <c r="H136" s="58">
        <v>6.8</v>
      </c>
      <c r="I136" s="58">
        <v>0.453592</v>
      </c>
      <c r="J136" s="58">
        <v>0.59874144000000007</v>
      </c>
      <c r="K136" s="58">
        <v>2.1772415999999999E-2</v>
      </c>
      <c r="L136" s="58">
        <v>1.2246983999999999E-2</v>
      </c>
      <c r="M136" s="58">
        <v>6.5770840000000002</v>
      </c>
      <c r="N136">
        <v>59.6</v>
      </c>
      <c r="O136" s="58">
        <v>0.26761927999999996</v>
      </c>
      <c r="P136" s="58">
        <v>0.14968536000000002</v>
      </c>
      <c r="Q136">
        <v>9.1</v>
      </c>
      <c r="R136">
        <v>0.33</v>
      </c>
      <c r="S136">
        <v>0.19</v>
      </c>
    </row>
    <row r="137" spans="1:19">
      <c r="B137" s="58" t="s">
        <v>134</v>
      </c>
      <c r="C137" s="58">
        <v>362.87360000000001</v>
      </c>
      <c r="F137" s="58">
        <v>0.453592</v>
      </c>
      <c r="G137" s="58">
        <v>4.3318036000000006</v>
      </c>
      <c r="H137" s="58">
        <v>7.5</v>
      </c>
      <c r="I137" s="58">
        <v>0.49895120000000004</v>
      </c>
      <c r="J137" s="58">
        <v>0.63502879999999995</v>
      </c>
      <c r="K137" s="58">
        <v>2.2679600000000001E-2</v>
      </c>
      <c r="L137" s="58">
        <v>1.3154168000000001E-2</v>
      </c>
      <c r="M137" s="58">
        <v>7.2574719999999999</v>
      </c>
      <c r="N137">
        <v>59.5</v>
      </c>
      <c r="O137" s="58">
        <v>0.26761927999999996</v>
      </c>
      <c r="P137" s="58">
        <v>0.14968536000000002</v>
      </c>
      <c r="Q137">
        <v>8.6999999999999993</v>
      </c>
      <c r="R137">
        <v>0.31</v>
      </c>
      <c r="S137">
        <v>0.18</v>
      </c>
    </row>
    <row r="138" spans="1:19">
      <c r="B138" s="58" t="s">
        <v>134</v>
      </c>
      <c r="C138" s="58">
        <v>408.2328</v>
      </c>
      <c r="F138" s="58">
        <v>0.453592</v>
      </c>
      <c r="G138" s="58">
        <v>4.7309645599999994</v>
      </c>
      <c r="H138" s="58">
        <v>8.1999999999999993</v>
      </c>
      <c r="I138" s="58">
        <v>0.54431039999999997</v>
      </c>
      <c r="J138" s="58">
        <v>0.67131615999999994</v>
      </c>
      <c r="K138" s="58">
        <v>2.3586784E-2</v>
      </c>
      <c r="L138" s="58">
        <v>1.4061351999999999E-2</v>
      </c>
      <c r="M138" s="58">
        <v>7.9378599999999997</v>
      </c>
      <c r="N138">
        <v>59.5</v>
      </c>
      <c r="O138" s="58">
        <v>0.26761927999999996</v>
      </c>
      <c r="P138" s="58">
        <v>0.14968536000000002</v>
      </c>
      <c r="Q138">
        <v>8.5</v>
      </c>
      <c r="R138">
        <v>0.3</v>
      </c>
      <c r="S138">
        <v>0.18</v>
      </c>
    </row>
    <row r="139" spans="1:19">
      <c r="B139" s="58" t="s">
        <v>134</v>
      </c>
      <c r="C139" s="58">
        <v>226.79599999999999</v>
      </c>
      <c r="F139" s="58">
        <v>0.68038799999999999</v>
      </c>
      <c r="G139" s="58">
        <v>3.2658624000000001</v>
      </c>
      <c r="H139" s="58">
        <v>5.3</v>
      </c>
      <c r="I139" s="58">
        <v>0.54431039999999997</v>
      </c>
      <c r="J139" s="58">
        <v>0.61688512000000006</v>
      </c>
      <c r="K139" s="58">
        <v>2.6761927999999997E-2</v>
      </c>
      <c r="L139" s="58">
        <v>1.3154168000000001E-2</v>
      </c>
      <c r="M139" s="58">
        <v>5.2163079999999997</v>
      </c>
      <c r="N139">
        <v>62.8</v>
      </c>
      <c r="O139" s="58">
        <v>0.29029887999999998</v>
      </c>
      <c r="P139" s="58">
        <v>0.16782903999999998</v>
      </c>
      <c r="Q139">
        <v>11.9</v>
      </c>
      <c r="R139">
        <v>0.51</v>
      </c>
      <c r="S139">
        <v>0.25</v>
      </c>
    </row>
    <row r="140" spans="1:19">
      <c r="B140" s="58" t="s">
        <v>134</v>
      </c>
      <c r="C140" s="58">
        <v>272.15519999999998</v>
      </c>
      <c r="F140" s="58">
        <v>0.68038799999999999</v>
      </c>
      <c r="G140" s="58">
        <v>3.7512058399999999</v>
      </c>
      <c r="H140" s="58">
        <v>6.1</v>
      </c>
      <c r="I140" s="58">
        <v>0.63502879999999995</v>
      </c>
      <c r="J140" s="58">
        <v>0.65317247999999994</v>
      </c>
      <c r="K140" s="58">
        <v>2.721552E-2</v>
      </c>
      <c r="L140" s="58">
        <v>1.4061351999999999E-2</v>
      </c>
      <c r="M140" s="58">
        <v>5.9874143999999996</v>
      </c>
      <c r="N140">
        <v>62.9</v>
      </c>
      <c r="O140" s="58">
        <v>0.29029887999999998</v>
      </c>
      <c r="P140" s="58">
        <v>0.16782903999999998</v>
      </c>
      <c r="Q140">
        <v>10.9</v>
      </c>
      <c r="R140">
        <v>0.46</v>
      </c>
      <c r="S140">
        <v>0.23</v>
      </c>
    </row>
    <row r="141" spans="1:19">
      <c r="B141" s="58" t="s">
        <v>134</v>
      </c>
      <c r="C141" s="58">
        <v>317.51440000000002</v>
      </c>
      <c r="F141" s="58">
        <v>0.68038799999999999</v>
      </c>
      <c r="G141" s="58">
        <v>4.20026192</v>
      </c>
      <c r="H141" s="58">
        <v>6.8</v>
      </c>
      <c r="I141" s="58">
        <v>0.68038799999999999</v>
      </c>
      <c r="J141" s="58">
        <v>0.68945984000000005</v>
      </c>
      <c r="K141" s="58">
        <v>2.8122703999999998E-2</v>
      </c>
      <c r="L141" s="58">
        <v>1.4514944E-2</v>
      </c>
      <c r="M141" s="58">
        <v>6.7131616000000003</v>
      </c>
      <c r="N141">
        <v>62.7</v>
      </c>
      <c r="O141" s="58">
        <v>0.29029887999999998</v>
      </c>
      <c r="P141" s="58">
        <v>0.16782903999999998</v>
      </c>
      <c r="Q141">
        <v>10.3</v>
      </c>
      <c r="R141">
        <v>0.42</v>
      </c>
      <c r="S141">
        <v>0.22</v>
      </c>
    </row>
    <row r="142" spans="1:19">
      <c r="B142" s="58" t="s">
        <v>134</v>
      </c>
      <c r="C142" s="58">
        <v>362.87360000000001</v>
      </c>
      <c r="F142" s="58">
        <v>0.68038799999999999</v>
      </c>
      <c r="G142" s="58">
        <v>4.6402461600000002</v>
      </c>
      <c r="H142" s="58">
        <v>7.5</v>
      </c>
      <c r="I142" s="58">
        <v>0.77110639999999997</v>
      </c>
      <c r="J142" s="58">
        <v>0.72121128000000001</v>
      </c>
      <c r="K142" s="58">
        <v>2.8576296000000001E-2</v>
      </c>
      <c r="L142" s="58">
        <v>1.5422128E-2</v>
      </c>
      <c r="M142" s="58">
        <v>7.3935496000000001</v>
      </c>
      <c r="N142">
        <v>62.7</v>
      </c>
      <c r="O142" s="58">
        <v>0.29029887999999998</v>
      </c>
      <c r="P142" s="58">
        <v>0.16782903999999998</v>
      </c>
      <c r="Q142">
        <v>9.8000000000000007</v>
      </c>
      <c r="R142">
        <v>0.39</v>
      </c>
      <c r="S142">
        <v>0.21</v>
      </c>
    </row>
    <row r="143" spans="1:19">
      <c r="B143" s="58" t="s">
        <v>134</v>
      </c>
      <c r="C143" s="58">
        <v>408.2328</v>
      </c>
      <c r="F143" s="58">
        <v>0.68038799999999999</v>
      </c>
      <c r="G143" s="58">
        <v>5.0666226400000003</v>
      </c>
      <c r="H143" s="58">
        <v>8.1999999999999993</v>
      </c>
      <c r="I143" s="58">
        <v>0.81646560000000001</v>
      </c>
      <c r="J143" s="58">
        <v>0.75296271999999997</v>
      </c>
      <c r="K143" s="58">
        <v>2.9483479999999999E-2</v>
      </c>
      <c r="L143" s="58">
        <v>1.6329311999999999E-2</v>
      </c>
      <c r="M143" s="58">
        <v>8.0739376000000007</v>
      </c>
      <c r="N143">
        <v>62.7</v>
      </c>
      <c r="O143" s="58">
        <v>0.29029887999999998</v>
      </c>
      <c r="P143" s="58">
        <v>0.16782903999999998</v>
      </c>
      <c r="Q143">
        <v>9.3000000000000007</v>
      </c>
      <c r="R143">
        <v>0.36</v>
      </c>
      <c r="S143">
        <v>0.2</v>
      </c>
    </row>
    <row r="144" spans="1:19">
      <c r="B144" s="58" t="s">
        <v>134</v>
      </c>
      <c r="C144" s="58">
        <v>226.79599999999999</v>
      </c>
      <c r="F144" s="58">
        <v>0.90718399999999999</v>
      </c>
      <c r="G144" s="58">
        <v>3.4745147200000002</v>
      </c>
      <c r="H144" s="58">
        <v>5.3</v>
      </c>
      <c r="I144" s="58">
        <v>0.72574720000000004</v>
      </c>
      <c r="J144" s="58">
        <v>0.71213944000000007</v>
      </c>
      <c r="K144" s="58">
        <v>3.3112216E-2</v>
      </c>
      <c r="L144" s="58">
        <v>1.5875720000000003E-2</v>
      </c>
      <c r="M144" s="58">
        <v>5.2616671999999998</v>
      </c>
      <c r="N144">
        <v>66.3</v>
      </c>
      <c r="O144" s="58">
        <v>0.31297847999999995</v>
      </c>
      <c r="P144" s="58">
        <v>0.19050863999999998</v>
      </c>
      <c r="Q144">
        <v>13.6</v>
      </c>
      <c r="R144">
        <v>0.63</v>
      </c>
      <c r="S144">
        <v>0.3</v>
      </c>
    </row>
    <row r="145" spans="2:19">
      <c r="B145" s="58" t="s">
        <v>134</v>
      </c>
      <c r="C145" s="58">
        <v>272.15519999999998</v>
      </c>
      <c r="F145" s="58">
        <v>0.90718399999999999</v>
      </c>
      <c r="G145" s="58">
        <v>3.9916096000000003</v>
      </c>
      <c r="H145" s="58">
        <v>6.1</v>
      </c>
      <c r="I145" s="58">
        <v>0.86182479999999995</v>
      </c>
      <c r="J145" s="58">
        <v>0.74389087999999992</v>
      </c>
      <c r="K145" s="58">
        <v>3.3565807999999996E-2</v>
      </c>
      <c r="L145" s="58">
        <v>1.6329311999999999E-2</v>
      </c>
      <c r="M145" s="58">
        <v>6.0327736000000005</v>
      </c>
      <c r="N145">
        <v>66.400000000000006</v>
      </c>
      <c r="O145" s="58">
        <v>0.31297847999999995</v>
      </c>
      <c r="P145" s="58">
        <v>0.19050863999999998</v>
      </c>
      <c r="Q145">
        <v>12.4</v>
      </c>
      <c r="R145">
        <v>0.56000000000000005</v>
      </c>
      <c r="S145">
        <v>0.27</v>
      </c>
    </row>
    <row r="146" spans="2:19">
      <c r="B146" s="58" t="s">
        <v>134</v>
      </c>
      <c r="C146" s="58">
        <v>317.51440000000002</v>
      </c>
      <c r="F146" s="58">
        <v>0.90718399999999999</v>
      </c>
      <c r="G146" s="58">
        <v>4.4633452799999995</v>
      </c>
      <c r="H146" s="58">
        <v>6.8</v>
      </c>
      <c r="I146" s="58">
        <v>0.95254320000000003</v>
      </c>
      <c r="J146" s="58">
        <v>0.77564232</v>
      </c>
      <c r="K146" s="58">
        <v>3.4019399999999998E-2</v>
      </c>
      <c r="L146" s="58">
        <v>1.7236496E-2</v>
      </c>
      <c r="M146" s="58">
        <v>6.7585208000000003</v>
      </c>
      <c r="N146">
        <v>66.2</v>
      </c>
      <c r="O146" s="58">
        <v>0.31297847999999995</v>
      </c>
      <c r="P146" s="58">
        <v>0.19050863999999998</v>
      </c>
      <c r="Q146">
        <v>11.5</v>
      </c>
      <c r="R146">
        <v>0.5</v>
      </c>
      <c r="S146">
        <v>0.25</v>
      </c>
    </row>
    <row r="147" spans="2:19">
      <c r="B147" s="58" t="s">
        <v>134</v>
      </c>
      <c r="C147" s="58">
        <v>362.87360000000001</v>
      </c>
      <c r="F147" s="58">
        <v>0.90718399999999999</v>
      </c>
      <c r="G147" s="58">
        <v>4.9305450399999993</v>
      </c>
      <c r="H147" s="58">
        <v>7.5</v>
      </c>
      <c r="I147" s="58">
        <v>1.0432615999999999</v>
      </c>
      <c r="J147" s="58">
        <v>0.80739375999999996</v>
      </c>
      <c r="K147" s="58">
        <v>3.4472992000000001E-2</v>
      </c>
      <c r="L147" s="58">
        <v>1.7690088E-2</v>
      </c>
      <c r="M147" s="58">
        <v>7.4389087999999992</v>
      </c>
      <c r="N147">
        <v>66.099999999999994</v>
      </c>
      <c r="O147" s="58">
        <v>0.31297847999999995</v>
      </c>
      <c r="P147" s="58">
        <v>0.19050863999999998</v>
      </c>
      <c r="Q147">
        <v>10.8</v>
      </c>
      <c r="R147">
        <v>0.46</v>
      </c>
      <c r="S147">
        <v>0.24</v>
      </c>
    </row>
    <row r="148" spans="2:19">
      <c r="B148" s="58" t="s">
        <v>134</v>
      </c>
      <c r="C148" s="58">
        <v>408.2328</v>
      </c>
      <c r="F148" s="58">
        <v>0.90718399999999999</v>
      </c>
      <c r="G148" s="58">
        <v>5.3886729600000001</v>
      </c>
      <c r="H148" s="58">
        <v>8.1999999999999993</v>
      </c>
      <c r="I148" s="58">
        <v>1.1793392</v>
      </c>
      <c r="J148" s="58">
        <v>0.83460928000000001</v>
      </c>
      <c r="K148" s="58">
        <v>3.4926583999999997E-2</v>
      </c>
      <c r="L148" s="58">
        <v>1.8597272000000001E-2</v>
      </c>
      <c r="M148" s="58">
        <v>8.1646560000000008</v>
      </c>
      <c r="N148">
        <v>66.099999999999994</v>
      </c>
      <c r="O148" s="58">
        <v>0.31297847999999995</v>
      </c>
      <c r="P148" s="58">
        <v>0.19050863999999998</v>
      </c>
      <c r="Q148">
        <v>10.3</v>
      </c>
      <c r="R148">
        <v>0.43</v>
      </c>
      <c r="S148">
        <v>0.23</v>
      </c>
    </row>
    <row r="149" spans="2:19">
      <c r="B149" s="58" t="s">
        <v>134</v>
      </c>
      <c r="C149" s="58">
        <v>226.79599999999999</v>
      </c>
      <c r="F149" s="58">
        <v>1.13398</v>
      </c>
      <c r="G149" s="58">
        <v>3.6695592800000001</v>
      </c>
      <c r="H149" s="58">
        <v>5.3</v>
      </c>
      <c r="I149" s="58">
        <v>0.90718399999999999</v>
      </c>
      <c r="J149" s="58">
        <v>0.80739375999999996</v>
      </c>
      <c r="K149" s="58">
        <v>3.9462503999999995E-2</v>
      </c>
      <c r="L149" s="58">
        <v>1.8597272000000001E-2</v>
      </c>
      <c r="M149" s="58">
        <v>5.2163079999999997</v>
      </c>
      <c r="N149">
        <v>70.099999999999994</v>
      </c>
      <c r="O149" s="58">
        <v>0.33565807999999997</v>
      </c>
      <c r="P149" s="58">
        <v>0.21318823999999997</v>
      </c>
      <c r="Q149">
        <v>15.4</v>
      </c>
      <c r="R149">
        <v>0.76</v>
      </c>
      <c r="S149">
        <v>0.35</v>
      </c>
    </row>
    <row r="150" spans="2:19">
      <c r="B150" s="58" t="s">
        <v>134</v>
      </c>
      <c r="C150" s="58">
        <v>272.15519999999998</v>
      </c>
      <c r="F150" s="58">
        <v>1.13398</v>
      </c>
      <c r="G150" s="58">
        <v>4.2138696799999993</v>
      </c>
      <c r="H150" s="58">
        <v>6.1</v>
      </c>
      <c r="I150" s="58">
        <v>1.0886207999999999</v>
      </c>
      <c r="J150" s="58">
        <v>0.83460928000000001</v>
      </c>
      <c r="K150" s="58">
        <v>3.9462503999999995E-2</v>
      </c>
      <c r="L150" s="58">
        <v>1.9050864000000001E-2</v>
      </c>
      <c r="M150" s="58">
        <v>5.9874143999999996</v>
      </c>
      <c r="N150">
        <v>70.2</v>
      </c>
      <c r="O150" s="58">
        <v>0.340194</v>
      </c>
      <c r="P150" s="58">
        <v>0.21318823999999997</v>
      </c>
      <c r="Q150">
        <v>13.9</v>
      </c>
      <c r="R150">
        <v>0.66</v>
      </c>
      <c r="S150">
        <v>0.31</v>
      </c>
    </row>
    <row r="151" spans="2:19">
      <c r="B151" s="58" t="s">
        <v>134</v>
      </c>
      <c r="C151" s="58">
        <v>317.51440000000002</v>
      </c>
      <c r="F151" s="58">
        <v>1.13398</v>
      </c>
      <c r="G151" s="58">
        <v>4.7173568000000001</v>
      </c>
      <c r="H151" s="58">
        <v>6.8</v>
      </c>
      <c r="I151" s="58">
        <v>1.2246984000000001</v>
      </c>
      <c r="J151" s="58">
        <v>0.86182479999999995</v>
      </c>
      <c r="K151" s="58">
        <v>3.9916095999999998E-2</v>
      </c>
      <c r="L151" s="58">
        <v>1.9504456E-2</v>
      </c>
      <c r="M151" s="58">
        <v>6.7585208000000003</v>
      </c>
      <c r="N151">
        <v>70</v>
      </c>
      <c r="O151" s="58">
        <v>0.33565807999999997</v>
      </c>
      <c r="P151" s="58">
        <v>0.21318823999999997</v>
      </c>
      <c r="Q151">
        <v>12.8</v>
      </c>
      <c r="R151">
        <v>0.59</v>
      </c>
      <c r="S151">
        <v>0.28999999999999998</v>
      </c>
    </row>
    <row r="152" spans="2:19">
      <c r="B152" s="58" t="s">
        <v>134</v>
      </c>
      <c r="C152" s="58">
        <v>362.87360000000001</v>
      </c>
      <c r="F152" s="58">
        <v>1.13398</v>
      </c>
      <c r="G152" s="58">
        <v>5.2072361599999999</v>
      </c>
      <c r="H152" s="58">
        <v>7.5</v>
      </c>
      <c r="I152" s="58">
        <v>1.3154167999999999</v>
      </c>
      <c r="J152" s="58">
        <v>0.88904032</v>
      </c>
      <c r="K152" s="58">
        <v>3.9916095999999998E-2</v>
      </c>
      <c r="L152" s="58">
        <v>1.9958047999999999E-2</v>
      </c>
      <c r="M152" s="58">
        <v>7.4389087999999992</v>
      </c>
      <c r="N152">
        <v>69.900000000000006</v>
      </c>
      <c r="O152" s="58">
        <v>0.33565807999999997</v>
      </c>
      <c r="P152" s="58">
        <v>0.21318823999999997</v>
      </c>
      <c r="Q152">
        <v>11.9</v>
      </c>
      <c r="R152">
        <v>0.54</v>
      </c>
      <c r="S152">
        <v>0.27</v>
      </c>
    </row>
    <row r="153" spans="2:19">
      <c r="B153" s="58" t="s">
        <v>134</v>
      </c>
      <c r="C153" s="58">
        <v>408.2328</v>
      </c>
      <c r="F153" s="58">
        <v>1.13398</v>
      </c>
      <c r="G153" s="58">
        <v>5.6925796000000002</v>
      </c>
      <c r="H153" s="58">
        <v>8.1999999999999993</v>
      </c>
      <c r="I153" s="58">
        <v>1.4514944000000001</v>
      </c>
      <c r="J153" s="58">
        <v>0.91625584000000004</v>
      </c>
      <c r="K153" s="58">
        <v>4.0369688000000001E-2</v>
      </c>
      <c r="L153" s="58">
        <v>2.0411639999999998E-2</v>
      </c>
      <c r="M153" s="58">
        <v>8.119296799999999</v>
      </c>
      <c r="N153">
        <v>69.900000000000006</v>
      </c>
      <c r="O153" s="58">
        <v>0.33565807999999997</v>
      </c>
      <c r="P153" s="58">
        <v>0.21318823999999997</v>
      </c>
      <c r="Q153">
        <v>11.2</v>
      </c>
      <c r="R153">
        <v>0.49</v>
      </c>
      <c r="S153">
        <v>0.25</v>
      </c>
    </row>
    <row r="154" spans="2:19">
      <c r="B154" s="58" t="s">
        <v>134</v>
      </c>
      <c r="C154" s="58">
        <v>226.79599999999999</v>
      </c>
      <c r="F154" s="58">
        <v>1.360776</v>
      </c>
      <c r="G154" s="58">
        <v>3.8509960800000003</v>
      </c>
      <c r="H154" s="58">
        <v>5.3</v>
      </c>
      <c r="I154" s="58">
        <v>1.13398</v>
      </c>
      <c r="J154" s="58">
        <v>0.90264807999999996</v>
      </c>
      <c r="K154" s="58">
        <v>4.5812792000000005E-2</v>
      </c>
      <c r="L154" s="58">
        <v>2.0865232000000001E-2</v>
      </c>
      <c r="M154" s="58">
        <v>5.1709487999999997</v>
      </c>
      <c r="N154">
        <v>74.3</v>
      </c>
      <c r="O154" s="58">
        <v>0.36287360000000002</v>
      </c>
      <c r="P154" s="58">
        <v>0.23586784</v>
      </c>
      <c r="Q154">
        <v>17.399999999999999</v>
      </c>
      <c r="R154">
        <v>0.89</v>
      </c>
      <c r="S154">
        <v>0.4</v>
      </c>
    </row>
    <row r="155" spans="2:19">
      <c r="B155" s="58" t="s">
        <v>134</v>
      </c>
      <c r="C155" s="58">
        <v>272.15519999999998</v>
      </c>
      <c r="F155" s="58">
        <v>1.360776</v>
      </c>
      <c r="G155" s="58">
        <v>4.4225219999999998</v>
      </c>
      <c r="H155" s="58">
        <v>6.1</v>
      </c>
      <c r="I155" s="58">
        <v>1.3154167999999999</v>
      </c>
      <c r="J155" s="58">
        <v>0.92532767999999999</v>
      </c>
      <c r="K155" s="58">
        <v>4.5812792000000005E-2</v>
      </c>
      <c r="L155" s="58">
        <v>2.1318824E-2</v>
      </c>
      <c r="M155" s="58">
        <v>5.9420551999999995</v>
      </c>
      <c r="N155">
        <v>74.5</v>
      </c>
      <c r="O155" s="58">
        <v>0.36740952000000004</v>
      </c>
      <c r="P155" s="58">
        <v>0.23586784</v>
      </c>
      <c r="Q155">
        <v>15.6</v>
      </c>
      <c r="R155">
        <v>0.77</v>
      </c>
      <c r="S155">
        <v>0.36</v>
      </c>
    </row>
    <row r="156" spans="2:19">
      <c r="B156" s="58" t="s">
        <v>134</v>
      </c>
      <c r="C156" s="58">
        <v>317.51440000000002</v>
      </c>
      <c r="F156" s="58">
        <v>1.360776</v>
      </c>
      <c r="G156" s="58">
        <v>4.9532246400000002</v>
      </c>
      <c r="H156" s="58">
        <v>6.8</v>
      </c>
      <c r="I156" s="58">
        <v>1.4514944000000001</v>
      </c>
      <c r="J156" s="58">
        <v>0.9480072799999999</v>
      </c>
      <c r="K156" s="58">
        <v>4.5812792000000005E-2</v>
      </c>
      <c r="L156" s="58">
        <v>2.1772415999999999E-2</v>
      </c>
      <c r="M156" s="58">
        <v>6.6678023999999994</v>
      </c>
      <c r="N156">
        <v>74.3</v>
      </c>
      <c r="O156" s="58">
        <v>0.36287360000000002</v>
      </c>
      <c r="P156" s="58">
        <v>0.23586784</v>
      </c>
      <c r="Q156">
        <v>14.2</v>
      </c>
      <c r="R156">
        <v>0.68</v>
      </c>
      <c r="S156">
        <v>0.33</v>
      </c>
    </row>
    <row r="157" spans="2:19">
      <c r="B157" s="58" t="s">
        <v>134</v>
      </c>
      <c r="C157" s="58">
        <v>362.87360000000001</v>
      </c>
      <c r="F157" s="58">
        <v>1.360776</v>
      </c>
      <c r="G157" s="58">
        <v>5.4703195200000003</v>
      </c>
      <c r="H157" s="58">
        <v>7.5</v>
      </c>
      <c r="I157" s="58">
        <v>1.6329312</v>
      </c>
      <c r="J157" s="58">
        <v>0.97068688000000003</v>
      </c>
      <c r="K157" s="58">
        <v>4.5359200000000002E-2</v>
      </c>
      <c r="L157" s="58">
        <v>2.2226008000000002E-2</v>
      </c>
      <c r="M157" s="58">
        <v>7.3935496000000001</v>
      </c>
      <c r="N157">
        <v>74.2</v>
      </c>
      <c r="O157" s="58">
        <v>0.36287360000000002</v>
      </c>
      <c r="P157" s="58">
        <v>0.23586784</v>
      </c>
      <c r="Q157">
        <v>13.2</v>
      </c>
      <c r="R157">
        <v>0.62</v>
      </c>
      <c r="S157">
        <v>0.3</v>
      </c>
    </row>
    <row r="158" spans="2:19">
      <c r="B158" s="58" t="s">
        <v>134</v>
      </c>
      <c r="C158" s="58">
        <v>408.2328</v>
      </c>
      <c r="F158" s="58">
        <v>1.360776</v>
      </c>
      <c r="G158" s="58">
        <v>5.9783425599999998</v>
      </c>
      <c r="H158" s="58">
        <v>8.1999999999999993</v>
      </c>
      <c r="I158" s="58">
        <v>1.7690087999999999</v>
      </c>
      <c r="J158" s="58">
        <v>0.99336647999999994</v>
      </c>
      <c r="K158" s="58">
        <v>4.5359200000000002E-2</v>
      </c>
      <c r="L158" s="58">
        <v>2.2679600000000001E-2</v>
      </c>
      <c r="M158" s="58">
        <v>8.0739376000000007</v>
      </c>
      <c r="N158">
        <v>74.2</v>
      </c>
      <c r="O158" s="58">
        <v>0.36287360000000002</v>
      </c>
      <c r="P158" s="58">
        <v>0.23586784</v>
      </c>
      <c r="Q158">
        <v>12.3</v>
      </c>
      <c r="R158">
        <v>0.56000000000000005</v>
      </c>
      <c r="S158">
        <v>0.28000000000000003</v>
      </c>
    </row>
    <row r="159" spans="2:19">
      <c r="B159" s="58" t="s">
        <v>134</v>
      </c>
      <c r="C159" s="58" t="s">
        <v>134</v>
      </c>
      <c r="F159" s="58" t="s">
        <v>134</v>
      </c>
      <c r="G159" s="58">
        <v>0</v>
      </c>
      <c r="H159" s="58">
        <v>0</v>
      </c>
      <c r="I159" s="58">
        <v>0</v>
      </c>
      <c r="J159" s="58">
        <v>0</v>
      </c>
      <c r="K159" s="58">
        <v>0</v>
      </c>
      <c r="L159" s="58">
        <v>0</v>
      </c>
      <c r="M159" s="58"/>
      <c r="O159" s="58"/>
      <c r="P159" s="58"/>
    </row>
    <row r="160" spans="2:19">
      <c r="B160" s="58" t="s">
        <v>134</v>
      </c>
      <c r="C160" s="58" t="s">
        <v>134</v>
      </c>
      <c r="F160" s="58" t="s">
        <v>134</v>
      </c>
      <c r="G160" s="58" t="e">
        <v>#VALUE!</v>
      </c>
      <c r="H160" s="58">
        <v>0</v>
      </c>
      <c r="I160" s="58">
        <v>0</v>
      </c>
      <c r="J160" s="58">
        <v>0</v>
      </c>
      <c r="K160" s="58">
        <v>0</v>
      </c>
      <c r="L160" s="58">
        <v>0</v>
      </c>
    </row>
    <row r="161" spans="1:19" ht="26">
      <c r="A161" t="s">
        <v>43</v>
      </c>
      <c r="B161" s="58" t="s">
        <v>132</v>
      </c>
      <c r="C161" s="58" t="s">
        <v>128</v>
      </c>
      <c r="F161" s="55" t="s">
        <v>133</v>
      </c>
      <c r="G161" s="58" t="s">
        <v>130</v>
      </c>
      <c r="H161" s="58" t="s">
        <v>23</v>
      </c>
      <c r="I161" s="58" t="s">
        <v>129</v>
      </c>
      <c r="J161" s="58" t="s">
        <v>117</v>
      </c>
      <c r="K161" s="58" t="s">
        <v>118</v>
      </c>
      <c r="L161" s="58" t="s">
        <v>119</v>
      </c>
      <c r="M161" s="58" t="s">
        <v>120</v>
      </c>
      <c r="N161" t="s">
        <v>16</v>
      </c>
      <c r="O161" s="58" t="s">
        <v>126</v>
      </c>
      <c r="P161" s="58" t="s">
        <v>127</v>
      </c>
      <c r="Q161" t="s">
        <v>18</v>
      </c>
      <c r="R161" t="s">
        <v>19</v>
      </c>
      <c r="S161" t="s">
        <v>20</v>
      </c>
    </row>
    <row r="162" spans="1:19">
      <c r="B162" s="58" t="s">
        <v>134</v>
      </c>
      <c r="C162" s="58">
        <v>408.2328</v>
      </c>
      <c r="F162" s="58">
        <v>0.453592</v>
      </c>
      <c r="G162" s="58">
        <v>5.1119818399999994</v>
      </c>
      <c r="H162" s="58">
        <v>8.1999999999999993</v>
      </c>
      <c r="I162" s="58">
        <v>0.54431039999999997</v>
      </c>
      <c r="J162" s="58">
        <v>0.69853167999999999</v>
      </c>
      <c r="K162" s="58">
        <v>2.3586784E-2</v>
      </c>
      <c r="L162" s="58">
        <v>1.4061351999999999E-2</v>
      </c>
      <c r="M162" s="58">
        <v>9.3893544000000002</v>
      </c>
      <c r="N162">
        <v>54.3</v>
      </c>
      <c r="O162" s="58">
        <v>0.23133192</v>
      </c>
      <c r="P162" s="58">
        <v>0.113398</v>
      </c>
      <c r="Q162">
        <v>7.4</v>
      </c>
      <c r="R162">
        <v>0.25</v>
      </c>
      <c r="S162">
        <v>0.15</v>
      </c>
    </row>
    <row r="163" spans="1:19">
      <c r="B163" s="58" t="s">
        <v>134</v>
      </c>
      <c r="C163" s="58">
        <v>453.59199999999998</v>
      </c>
      <c r="D163" s="59"/>
      <c r="E163" s="59"/>
      <c r="F163" s="58">
        <v>0.453592</v>
      </c>
      <c r="G163" s="58">
        <v>5.5383583200000004</v>
      </c>
      <c r="H163" s="58">
        <v>8.9</v>
      </c>
      <c r="I163" s="58">
        <v>0.58966960000000002</v>
      </c>
      <c r="J163" s="58">
        <v>0.73481904000000009</v>
      </c>
      <c r="K163" s="58">
        <v>2.4493967999999998E-2</v>
      </c>
      <c r="L163" s="58">
        <v>1.4968536000000001E-2</v>
      </c>
      <c r="M163" s="58">
        <v>10.205819999999999</v>
      </c>
      <c r="N163">
        <v>54.4</v>
      </c>
      <c r="O163" s="58">
        <v>0.23133192</v>
      </c>
      <c r="P163" s="58">
        <v>0.11793392</v>
      </c>
      <c r="Q163">
        <v>7.2</v>
      </c>
      <c r="R163">
        <v>0.24</v>
      </c>
      <c r="S163">
        <v>0.15</v>
      </c>
    </row>
    <row r="164" spans="1:19">
      <c r="B164" s="58" t="s">
        <v>134</v>
      </c>
      <c r="C164" s="58">
        <v>498.95119999999997</v>
      </c>
      <c r="D164" s="59"/>
      <c r="E164" s="59"/>
      <c r="F164" s="58">
        <v>0.453592</v>
      </c>
      <c r="G164" s="58">
        <v>5.9329833599999997</v>
      </c>
      <c r="H164" s="58">
        <v>9.5</v>
      </c>
      <c r="I164" s="58">
        <v>0.63502879999999995</v>
      </c>
      <c r="J164" s="58">
        <v>0.76657047999999994</v>
      </c>
      <c r="K164" s="58">
        <v>2.5854743999999999E-2</v>
      </c>
      <c r="L164" s="58">
        <v>1.5875720000000003E-2</v>
      </c>
      <c r="M164" s="58">
        <v>10.9315672</v>
      </c>
      <c r="N164">
        <v>54.3</v>
      </c>
      <c r="O164" s="58">
        <v>0.23133192</v>
      </c>
      <c r="P164" s="58">
        <v>0.113398</v>
      </c>
      <c r="Q164">
        <v>7</v>
      </c>
      <c r="R164">
        <v>0.23</v>
      </c>
      <c r="S164">
        <v>0.14000000000000001</v>
      </c>
    </row>
    <row r="165" spans="1:19">
      <c r="B165" s="58" t="s">
        <v>134</v>
      </c>
      <c r="C165" s="58">
        <v>544.31039999999996</v>
      </c>
      <c r="D165" s="59"/>
      <c r="E165" s="59"/>
      <c r="F165" s="58">
        <v>0.453592</v>
      </c>
      <c r="G165" s="58">
        <v>6.3502879999999999</v>
      </c>
      <c r="H165" s="58">
        <v>10.199999999999999</v>
      </c>
      <c r="I165" s="58">
        <v>0.68038799999999999</v>
      </c>
      <c r="J165" s="58">
        <v>0.79832192000000002</v>
      </c>
      <c r="K165" s="58">
        <v>2.6761927999999997E-2</v>
      </c>
      <c r="L165" s="58">
        <v>1.6329311999999999E-2</v>
      </c>
      <c r="M165" s="58">
        <v>11.657314399999999</v>
      </c>
      <c r="N165">
        <v>54.4</v>
      </c>
      <c r="O165" s="58">
        <v>0.23133192</v>
      </c>
      <c r="P165" s="58">
        <v>0.11793392</v>
      </c>
      <c r="Q165">
        <v>6.9</v>
      </c>
      <c r="R165">
        <v>0.23</v>
      </c>
      <c r="S165">
        <v>0.14000000000000001</v>
      </c>
    </row>
    <row r="166" spans="1:19">
      <c r="B166" s="58" t="s">
        <v>134</v>
      </c>
      <c r="C166" s="58">
        <v>589.66959999999995</v>
      </c>
      <c r="D166" s="59"/>
      <c r="E166" s="59"/>
      <c r="F166" s="58">
        <v>0.453592</v>
      </c>
      <c r="G166" s="58">
        <v>6.7358411999999994</v>
      </c>
      <c r="H166" s="58">
        <v>10.8</v>
      </c>
      <c r="I166" s="58">
        <v>0.68038799999999999</v>
      </c>
      <c r="J166" s="58">
        <v>0.83007335999999998</v>
      </c>
      <c r="K166" s="58">
        <v>2.7669111999999999E-2</v>
      </c>
      <c r="L166" s="58">
        <v>1.7236496E-2</v>
      </c>
      <c r="M166" s="58">
        <v>12.3830616</v>
      </c>
      <c r="N166">
        <v>54.3</v>
      </c>
      <c r="O166" s="58">
        <v>0.23133192</v>
      </c>
      <c r="P166" s="58">
        <v>0.113398</v>
      </c>
      <c r="Q166">
        <v>6.7</v>
      </c>
      <c r="R166">
        <v>0.22</v>
      </c>
      <c r="S166">
        <v>0.14000000000000001</v>
      </c>
    </row>
    <row r="167" spans="1:19">
      <c r="B167" s="58" t="s">
        <v>134</v>
      </c>
      <c r="C167" s="58">
        <v>635.02880000000005</v>
      </c>
      <c r="D167" s="59"/>
      <c r="E167" s="59"/>
      <c r="F167" s="58">
        <v>0.453592</v>
      </c>
      <c r="G167" s="58">
        <v>7.11232256</v>
      </c>
      <c r="H167" s="58">
        <v>11.4</v>
      </c>
      <c r="I167" s="58">
        <v>0.72574720000000004</v>
      </c>
      <c r="J167" s="58">
        <v>0.86182479999999995</v>
      </c>
      <c r="K167" s="58">
        <v>2.8576296000000001E-2</v>
      </c>
      <c r="L167" s="58">
        <v>1.8143679999999999E-2</v>
      </c>
      <c r="M167" s="58">
        <v>13.108808799999998</v>
      </c>
      <c r="N167">
        <v>54.3</v>
      </c>
      <c r="O167" s="58">
        <v>0.23133192</v>
      </c>
      <c r="P167" s="58">
        <v>0.113398</v>
      </c>
      <c r="Q167">
        <v>6.6</v>
      </c>
      <c r="R167">
        <v>0.22</v>
      </c>
      <c r="S167">
        <v>0.14000000000000001</v>
      </c>
    </row>
    <row r="168" spans="1:19">
      <c r="B168" s="58" t="s">
        <v>134</v>
      </c>
      <c r="C168" s="58">
        <v>680.38800000000003</v>
      </c>
      <c r="D168" s="59"/>
      <c r="E168" s="59"/>
      <c r="F168" s="58">
        <v>0.453592</v>
      </c>
      <c r="G168" s="58">
        <v>7.4888039200000005</v>
      </c>
      <c r="H168" s="58">
        <v>12</v>
      </c>
      <c r="I168" s="58">
        <v>0.77110639999999997</v>
      </c>
      <c r="J168" s="58">
        <v>0.89357624000000002</v>
      </c>
      <c r="K168" s="58">
        <v>2.9483479999999999E-2</v>
      </c>
      <c r="L168" s="58">
        <v>1.9050864000000001E-2</v>
      </c>
      <c r="M168" s="58">
        <v>13.789196799999999</v>
      </c>
      <c r="N168">
        <v>54.3</v>
      </c>
      <c r="O168" s="58">
        <v>0.23133192</v>
      </c>
      <c r="P168" s="58">
        <v>0.113398</v>
      </c>
      <c r="Q168">
        <v>6.5</v>
      </c>
      <c r="R168">
        <v>0.21</v>
      </c>
      <c r="S168">
        <v>0.14000000000000001</v>
      </c>
    </row>
    <row r="169" spans="1:19">
      <c r="B169" s="58" t="s">
        <v>134</v>
      </c>
      <c r="C169" s="58">
        <v>725.74720000000002</v>
      </c>
      <c r="D169" s="59"/>
      <c r="E169" s="59"/>
      <c r="F169" s="58">
        <v>0.453592</v>
      </c>
      <c r="G169" s="58">
        <v>7.8607493599999989</v>
      </c>
      <c r="H169" s="58">
        <v>12.6</v>
      </c>
      <c r="I169" s="58">
        <v>0.81646560000000001</v>
      </c>
      <c r="J169" s="58">
        <v>0.92532767999999999</v>
      </c>
      <c r="K169" s="58">
        <v>3.0390664000000001E-2</v>
      </c>
      <c r="L169" s="58">
        <v>1.9958047999999999E-2</v>
      </c>
      <c r="M169" s="58">
        <v>14.4695848</v>
      </c>
      <c r="N169">
        <v>54.3</v>
      </c>
      <c r="O169" s="58">
        <v>0.23133192</v>
      </c>
      <c r="P169" s="58">
        <v>0.113398</v>
      </c>
      <c r="Q169">
        <v>6.4</v>
      </c>
      <c r="R169">
        <v>0.21</v>
      </c>
      <c r="S169">
        <v>0.14000000000000001</v>
      </c>
    </row>
    <row r="170" spans="1:19">
      <c r="B170" s="58" t="s">
        <v>134</v>
      </c>
      <c r="C170" s="58">
        <v>771.10640000000001</v>
      </c>
      <c r="D170" s="59"/>
      <c r="E170" s="59"/>
      <c r="F170" s="58">
        <v>0.453592</v>
      </c>
      <c r="G170" s="58">
        <v>8.2326947999999991</v>
      </c>
      <c r="H170" s="58">
        <v>13.2</v>
      </c>
      <c r="I170" s="58">
        <v>0.86182479999999995</v>
      </c>
      <c r="J170" s="58">
        <v>0.95254320000000003</v>
      </c>
      <c r="K170" s="58">
        <v>3.1297848000000003E-2</v>
      </c>
      <c r="L170" s="58">
        <v>2.0865232000000001E-2</v>
      </c>
      <c r="M170" s="58">
        <v>15.149972799999999</v>
      </c>
      <c r="N170">
        <v>54.3</v>
      </c>
      <c r="O170" s="58">
        <v>0.23133192</v>
      </c>
      <c r="P170" s="58">
        <v>0.113398</v>
      </c>
      <c r="Q170">
        <v>6.3</v>
      </c>
      <c r="R170">
        <v>0.21</v>
      </c>
      <c r="S170">
        <v>0.14000000000000001</v>
      </c>
    </row>
    <row r="171" spans="1:19">
      <c r="B171" s="58" t="s">
        <v>134</v>
      </c>
      <c r="C171" s="58">
        <v>816.46559999999999</v>
      </c>
      <c r="D171" s="59"/>
      <c r="E171" s="59"/>
      <c r="F171" s="58">
        <v>0.453592</v>
      </c>
      <c r="G171" s="58">
        <v>8.6001043199999998</v>
      </c>
      <c r="H171" s="58">
        <v>13.8</v>
      </c>
      <c r="I171" s="58">
        <v>0.90718399999999999</v>
      </c>
      <c r="J171" s="58">
        <v>0.98429464</v>
      </c>
      <c r="K171" s="58">
        <v>3.2658623999999997E-2</v>
      </c>
      <c r="L171" s="58">
        <v>2.1772415999999999E-2</v>
      </c>
      <c r="M171" s="58">
        <v>15.830360799999999</v>
      </c>
      <c r="N171">
        <v>54.3</v>
      </c>
      <c r="O171" s="58">
        <v>0.23133192</v>
      </c>
      <c r="P171" s="58">
        <v>0.113398</v>
      </c>
      <c r="Q171">
        <v>6.2</v>
      </c>
      <c r="R171">
        <v>0.21</v>
      </c>
      <c r="S171">
        <v>0.14000000000000001</v>
      </c>
    </row>
    <row r="172" spans="1:19">
      <c r="B172" s="58" t="s">
        <v>134</v>
      </c>
      <c r="C172" s="58">
        <v>408.2328</v>
      </c>
      <c r="F172" s="58">
        <v>0.68038799999999999</v>
      </c>
      <c r="G172" s="58">
        <v>5.4567117599999992</v>
      </c>
      <c r="H172" s="58">
        <v>8.1999999999999993</v>
      </c>
      <c r="I172" s="58">
        <v>0.81646560000000001</v>
      </c>
      <c r="J172" s="58">
        <v>0.79378599999999999</v>
      </c>
      <c r="K172" s="58">
        <v>2.9483479999999999E-2</v>
      </c>
      <c r="L172" s="58">
        <v>1.6329311999999999E-2</v>
      </c>
      <c r="M172" s="58">
        <v>9.5254320000000003</v>
      </c>
      <c r="N172">
        <v>57.2</v>
      </c>
      <c r="O172" s="58">
        <v>0.24947560000000002</v>
      </c>
      <c r="P172" s="58">
        <v>0.13607759999999999</v>
      </c>
      <c r="Q172">
        <v>8.3000000000000007</v>
      </c>
      <c r="R172">
        <v>0.31</v>
      </c>
      <c r="S172">
        <v>0.17</v>
      </c>
    </row>
    <row r="173" spans="1:19">
      <c r="B173" s="58" t="s">
        <v>134</v>
      </c>
      <c r="C173" s="58">
        <v>453.59199999999998</v>
      </c>
      <c r="D173" s="59"/>
      <c r="E173" s="59"/>
      <c r="F173" s="58">
        <v>0.68038799999999999</v>
      </c>
      <c r="G173" s="58">
        <v>5.9103037599999997</v>
      </c>
      <c r="H173" s="58">
        <v>8.9</v>
      </c>
      <c r="I173" s="58">
        <v>0.90718399999999999</v>
      </c>
      <c r="J173" s="58">
        <v>0.82553744000000007</v>
      </c>
      <c r="K173" s="58">
        <v>2.9937072000000002E-2</v>
      </c>
      <c r="L173" s="58">
        <v>1.6782903999999998E-2</v>
      </c>
      <c r="M173" s="58">
        <v>10.341897599999999</v>
      </c>
      <c r="N173">
        <v>57.2</v>
      </c>
      <c r="O173" s="58">
        <v>0.24947560000000002</v>
      </c>
      <c r="P173" s="58">
        <v>0.13607759999999999</v>
      </c>
      <c r="Q173">
        <v>8</v>
      </c>
      <c r="R173">
        <v>0.28999999999999998</v>
      </c>
      <c r="S173">
        <v>0.16</v>
      </c>
    </row>
    <row r="174" spans="1:19">
      <c r="B174" s="58" t="s">
        <v>134</v>
      </c>
      <c r="C174" s="58">
        <v>498.95119999999997</v>
      </c>
      <c r="D174" s="59"/>
      <c r="E174" s="59"/>
      <c r="F174" s="58">
        <v>0.68038799999999999</v>
      </c>
      <c r="G174" s="58">
        <v>6.3366802400000006</v>
      </c>
      <c r="H174" s="58">
        <v>9.5</v>
      </c>
      <c r="I174" s="58">
        <v>0.95254320000000003</v>
      </c>
      <c r="J174" s="58">
        <v>0.85728887999999992</v>
      </c>
      <c r="K174" s="58">
        <v>3.0844256E-2</v>
      </c>
      <c r="L174" s="58">
        <v>1.7690088E-2</v>
      </c>
      <c r="M174" s="58">
        <v>11.113004</v>
      </c>
      <c r="N174">
        <v>57.1</v>
      </c>
      <c r="O174" s="58">
        <v>0.24947560000000002</v>
      </c>
      <c r="P174" s="58">
        <v>0.13154167999999999</v>
      </c>
      <c r="Q174">
        <v>7.7</v>
      </c>
      <c r="R174">
        <v>0.28000000000000003</v>
      </c>
      <c r="S174">
        <v>0.16</v>
      </c>
    </row>
    <row r="175" spans="1:19">
      <c r="B175" s="58" t="s">
        <v>134</v>
      </c>
      <c r="C175" s="58">
        <v>544.31039999999996</v>
      </c>
      <c r="D175" s="59"/>
      <c r="E175" s="59"/>
      <c r="F175" s="58">
        <v>0.68038799999999999</v>
      </c>
      <c r="G175" s="58">
        <v>6.77666448</v>
      </c>
      <c r="H175" s="58">
        <v>10.199999999999999</v>
      </c>
      <c r="I175" s="58">
        <v>1.0432615999999999</v>
      </c>
      <c r="J175" s="58">
        <v>0.88450439999999997</v>
      </c>
      <c r="K175" s="58">
        <v>3.1297848000000003E-2</v>
      </c>
      <c r="L175" s="58">
        <v>1.8597272000000001E-2</v>
      </c>
      <c r="M175" s="58">
        <v>11.838751200000001</v>
      </c>
      <c r="N175">
        <v>57.2</v>
      </c>
      <c r="O175" s="58">
        <v>0.24947560000000002</v>
      </c>
      <c r="P175" s="58">
        <v>0.13607759999999999</v>
      </c>
      <c r="Q175">
        <v>7.5</v>
      </c>
      <c r="R175">
        <v>0.27</v>
      </c>
      <c r="S175">
        <v>0.16</v>
      </c>
    </row>
    <row r="176" spans="1:19">
      <c r="B176" s="58" t="s">
        <v>134</v>
      </c>
      <c r="C176" s="58">
        <v>589.66959999999995</v>
      </c>
      <c r="D176" s="59"/>
      <c r="E176" s="59"/>
      <c r="F176" s="58">
        <v>0.68038799999999999</v>
      </c>
      <c r="G176" s="58">
        <v>7.1939691199999993</v>
      </c>
      <c r="H176" s="58">
        <v>10.8</v>
      </c>
      <c r="I176" s="58">
        <v>1.0886207999999999</v>
      </c>
      <c r="J176" s="58">
        <v>0.91171991999999991</v>
      </c>
      <c r="K176" s="58">
        <v>3.2205031999999995E-2</v>
      </c>
      <c r="L176" s="58">
        <v>1.9504456E-2</v>
      </c>
      <c r="M176" s="58">
        <v>12.5644984</v>
      </c>
      <c r="N176">
        <v>57.2</v>
      </c>
      <c r="O176" s="58">
        <v>0.24947560000000002</v>
      </c>
      <c r="P176" s="58">
        <v>0.13607759999999999</v>
      </c>
      <c r="Q176">
        <v>7.3</v>
      </c>
      <c r="R176">
        <v>0.26</v>
      </c>
      <c r="S176">
        <v>0.15</v>
      </c>
    </row>
    <row r="177" spans="2:19">
      <c r="B177" s="58" t="s">
        <v>134</v>
      </c>
      <c r="C177" s="58">
        <v>635.02880000000005</v>
      </c>
      <c r="D177" s="59"/>
      <c r="E177" s="59"/>
      <c r="F177" s="58">
        <v>0.68038799999999999</v>
      </c>
      <c r="G177" s="58">
        <v>7.593130079999999</v>
      </c>
      <c r="H177" s="58">
        <v>11.4</v>
      </c>
      <c r="I177" s="58">
        <v>1.13398</v>
      </c>
      <c r="J177" s="58">
        <v>0.93893543999999995</v>
      </c>
      <c r="K177" s="58">
        <v>3.3112216E-2</v>
      </c>
      <c r="L177" s="58">
        <v>1.9958047999999999E-2</v>
      </c>
      <c r="M177" s="58">
        <v>13.2902456</v>
      </c>
      <c r="N177">
        <v>57.1</v>
      </c>
      <c r="O177" s="58">
        <v>0.24947560000000002</v>
      </c>
      <c r="P177" s="58">
        <v>0.13154167999999999</v>
      </c>
      <c r="Q177">
        <v>7.1</v>
      </c>
      <c r="R177">
        <v>0.25</v>
      </c>
      <c r="S177">
        <v>0.15</v>
      </c>
    </row>
    <row r="178" spans="2:19">
      <c r="B178" s="58" t="s">
        <v>134</v>
      </c>
      <c r="C178" s="58">
        <v>680.38800000000003</v>
      </c>
      <c r="D178" s="59"/>
      <c r="E178" s="59"/>
      <c r="F178" s="58">
        <v>0.68038799999999999</v>
      </c>
      <c r="G178" s="58">
        <v>8.0013628800000003</v>
      </c>
      <c r="H178" s="58">
        <v>12</v>
      </c>
      <c r="I178" s="58">
        <v>1.1793392</v>
      </c>
      <c r="J178" s="58">
        <v>0.96615095999999989</v>
      </c>
      <c r="K178" s="58">
        <v>3.4019399999999998E-2</v>
      </c>
      <c r="L178" s="58">
        <v>2.0865232000000001E-2</v>
      </c>
      <c r="M178" s="58">
        <v>14.015992799999999</v>
      </c>
      <c r="N178">
        <v>57.1</v>
      </c>
      <c r="O178" s="58">
        <v>0.24947560000000002</v>
      </c>
      <c r="P178" s="58">
        <v>0.13154167999999999</v>
      </c>
      <c r="Q178">
        <v>6.9</v>
      </c>
      <c r="R178">
        <v>0.24</v>
      </c>
      <c r="S178">
        <v>0.15</v>
      </c>
    </row>
    <row r="179" spans="2:19">
      <c r="B179" s="58" t="s">
        <v>134</v>
      </c>
      <c r="C179" s="58">
        <v>725.74720000000002</v>
      </c>
      <c r="D179" s="59"/>
      <c r="E179" s="59"/>
      <c r="F179" s="58">
        <v>0.68038799999999999</v>
      </c>
      <c r="G179" s="58">
        <v>8.3959879200000014</v>
      </c>
      <c r="H179" s="58">
        <v>12.6</v>
      </c>
      <c r="I179" s="58">
        <v>1.2700575999999999</v>
      </c>
      <c r="J179" s="58">
        <v>0.99336647999999994</v>
      </c>
      <c r="K179" s="58">
        <v>3.4472992000000001E-2</v>
      </c>
      <c r="L179" s="58">
        <v>2.1772415999999999E-2</v>
      </c>
      <c r="M179" s="58">
        <v>14.6963808</v>
      </c>
      <c r="N179">
        <v>57.1</v>
      </c>
      <c r="O179" s="58">
        <v>0.24947560000000002</v>
      </c>
      <c r="P179" s="58">
        <v>0.13154167999999999</v>
      </c>
      <c r="Q179">
        <v>6.8</v>
      </c>
      <c r="R179">
        <v>0.24</v>
      </c>
      <c r="S179">
        <v>0.15</v>
      </c>
    </row>
    <row r="180" spans="2:19">
      <c r="B180" s="58" t="s">
        <v>134</v>
      </c>
      <c r="C180" s="58">
        <v>771.10640000000001</v>
      </c>
      <c r="D180" s="59"/>
      <c r="E180" s="59"/>
      <c r="F180" s="58">
        <v>0.68038799999999999</v>
      </c>
      <c r="G180" s="58">
        <v>8.7906129599999989</v>
      </c>
      <c r="H180" s="58">
        <v>13.2</v>
      </c>
      <c r="I180" s="58">
        <v>1.3154167999999999</v>
      </c>
      <c r="J180" s="58">
        <v>1.0205820000000001</v>
      </c>
      <c r="K180" s="58">
        <v>3.5380175999999999E-2</v>
      </c>
      <c r="L180" s="58">
        <v>2.2679600000000001E-2</v>
      </c>
      <c r="M180" s="58">
        <v>15.376768799999999</v>
      </c>
      <c r="N180">
        <v>57.1</v>
      </c>
      <c r="O180" s="58">
        <v>0.24947560000000002</v>
      </c>
      <c r="P180" s="58">
        <v>0.13154167999999999</v>
      </c>
      <c r="Q180">
        <v>6.6</v>
      </c>
      <c r="R180">
        <v>0.23</v>
      </c>
      <c r="S180">
        <v>0.15</v>
      </c>
    </row>
    <row r="181" spans="2:19">
      <c r="B181" s="58" t="s">
        <v>134</v>
      </c>
      <c r="C181" s="58">
        <v>816.46559999999999</v>
      </c>
      <c r="D181" s="59"/>
      <c r="E181" s="59"/>
      <c r="F181" s="58">
        <v>0.68038799999999999</v>
      </c>
      <c r="G181" s="58">
        <v>9.1807020799999997</v>
      </c>
      <c r="H181" s="58">
        <v>13.8</v>
      </c>
      <c r="I181" s="58">
        <v>1.4061352</v>
      </c>
      <c r="J181" s="58">
        <v>1.04779752</v>
      </c>
      <c r="K181" s="58">
        <v>3.6287359999999998E-2</v>
      </c>
      <c r="L181" s="58">
        <v>2.3133191999999997E-2</v>
      </c>
      <c r="M181" s="58">
        <v>16.057156799999998</v>
      </c>
      <c r="N181">
        <v>57.2</v>
      </c>
      <c r="O181" s="58">
        <v>0.24947560000000002</v>
      </c>
      <c r="P181" s="58">
        <v>0.13607759999999999</v>
      </c>
      <c r="Q181">
        <v>6.5</v>
      </c>
      <c r="R181">
        <v>0.23</v>
      </c>
      <c r="S181">
        <v>0.15</v>
      </c>
    </row>
    <row r="182" spans="2:19">
      <c r="B182" s="58" t="s">
        <v>134</v>
      </c>
      <c r="C182" s="58">
        <v>408.2328</v>
      </c>
      <c r="F182" s="58">
        <v>0.90718399999999999</v>
      </c>
      <c r="G182" s="58">
        <v>5.7787620799999999</v>
      </c>
      <c r="H182" s="58">
        <v>8.1999999999999993</v>
      </c>
      <c r="I182" s="58">
        <v>1.1793392</v>
      </c>
      <c r="J182" s="58">
        <v>0.88904032</v>
      </c>
      <c r="K182" s="58">
        <v>3.4926583999999997E-2</v>
      </c>
      <c r="L182" s="58">
        <v>1.8597272000000001E-2</v>
      </c>
      <c r="M182" s="58">
        <v>9.6161504000000004</v>
      </c>
      <c r="N182">
        <v>60.1</v>
      </c>
      <c r="O182" s="58">
        <v>0.27215519999999999</v>
      </c>
      <c r="P182" s="58">
        <v>0.15422128000000002</v>
      </c>
      <c r="Q182">
        <v>9.3000000000000007</v>
      </c>
      <c r="R182">
        <v>0.36</v>
      </c>
      <c r="S182">
        <v>0.19</v>
      </c>
    </row>
    <row r="183" spans="2:19">
      <c r="B183" s="58" t="s">
        <v>134</v>
      </c>
      <c r="C183" s="58">
        <v>453.59199999999998</v>
      </c>
      <c r="D183" s="59"/>
      <c r="E183" s="59"/>
      <c r="F183" s="58">
        <v>0.90718399999999999</v>
      </c>
      <c r="G183" s="58">
        <v>6.2595695999999998</v>
      </c>
      <c r="H183" s="58">
        <v>8.9</v>
      </c>
      <c r="I183" s="58">
        <v>1.2246984000000001</v>
      </c>
      <c r="J183" s="58">
        <v>0.91625584000000004</v>
      </c>
      <c r="K183" s="58">
        <v>3.5380175999999999E-2</v>
      </c>
      <c r="L183" s="58">
        <v>1.9050864000000001E-2</v>
      </c>
      <c r="M183" s="58">
        <v>10.387256799999999</v>
      </c>
      <c r="N183">
        <v>60.2</v>
      </c>
      <c r="O183" s="58">
        <v>0.27215519999999999</v>
      </c>
      <c r="P183" s="58">
        <v>0.15422128000000002</v>
      </c>
      <c r="Q183">
        <v>8.8000000000000007</v>
      </c>
      <c r="R183">
        <v>0.34</v>
      </c>
      <c r="S183">
        <v>0.18</v>
      </c>
    </row>
    <row r="184" spans="2:19">
      <c r="B184" s="58" t="s">
        <v>134</v>
      </c>
      <c r="C184" s="58">
        <v>498.95119999999997</v>
      </c>
      <c r="D184" s="59"/>
      <c r="E184" s="59"/>
      <c r="F184" s="58">
        <v>0.90718399999999999</v>
      </c>
      <c r="G184" s="58">
        <v>6.7086256799999999</v>
      </c>
      <c r="H184" s="58">
        <v>9.5</v>
      </c>
      <c r="I184" s="58">
        <v>1.360776</v>
      </c>
      <c r="J184" s="58">
        <v>0.94347135999999998</v>
      </c>
      <c r="K184" s="58">
        <v>3.5833768000000002E-2</v>
      </c>
      <c r="L184" s="58">
        <v>1.9958047999999999E-2</v>
      </c>
      <c r="M184" s="58">
        <v>11.1583632</v>
      </c>
      <c r="N184">
        <v>60.1</v>
      </c>
      <c r="O184" s="58">
        <v>0.27215519999999999</v>
      </c>
      <c r="P184" s="58">
        <v>0.15422128000000002</v>
      </c>
      <c r="Q184">
        <v>8.4</v>
      </c>
      <c r="R184">
        <v>0.32</v>
      </c>
      <c r="S184">
        <v>0.18</v>
      </c>
    </row>
    <row r="185" spans="2:19">
      <c r="B185" s="58" t="s">
        <v>134</v>
      </c>
      <c r="C185" s="58">
        <v>544.31039999999996</v>
      </c>
      <c r="D185" s="59"/>
      <c r="E185" s="59"/>
      <c r="F185" s="58">
        <v>0.90718399999999999</v>
      </c>
      <c r="G185" s="58">
        <v>7.1758254399999997</v>
      </c>
      <c r="H185" s="58">
        <v>10.199999999999999</v>
      </c>
      <c r="I185" s="58">
        <v>1.4514944000000001</v>
      </c>
      <c r="J185" s="58">
        <v>0.96615095999999989</v>
      </c>
      <c r="K185" s="58">
        <v>3.6287359999999998E-2</v>
      </c>
      <c r="L185" s="58">
        <v>2.0411639999999998E-2</v>
      </c>
      <c r="M185" s="58">
        <v>11.929469600000001</v>
      </c>
      <c r="N185">
        <v>60.2</v>
      </c>
      <c r="O185" s="58">
        <v>0.27215519999999999</v>
      </c>
      <c r="P185" s="58">
        <v>0.15422128000000002</v>
      </c>
      <c r="Q185">
        <v>8.1</v>
      </c>
      <c r="R185">
        <v>0.3</v>
      </c>
      <c r="S185">
        <v>0.17</v>
      </c>
    </row>
    <row r="186" spans="2:19">
      <c r="B186" s="58" t="s">
        <v>134</v>
      </c>
      <c r="C186" s="58">
        <v>589.66959999999995</v>
      </c>
      <c r="D186" s="59"/>
      <c r="E186" s="59"/>
      <c r="F186" s="58">
        <v>0.90718399999999999</v>
      </c>
      <c r="G186" s="58">
        <v>7.6158096799999999</v>
      </c>
      <c r="H186" s="58">
        <v>10.8</v>
      </c>
      <c r="I186" s="58">
        <v>1.5422127999999999</v>
      </c>
      <c r="J186" s="58">
        <v>0.99336647999999994</v>
      </c>
      <c r="K186" s="58">
        <v>3.6740952E-2</v>
      </c>
      <c r="L186" s="58">
        <v>2.1318824E-2</v>
      </c>
      <c r="M186" s="58">
        <v>12.6552168</v>
      </c>
      <c r="N186">
        <v>60.1</v>
      </c>
      <c r="O186" s="58">
        <v>0.27215519999999999</v>
      </c>
      <c r="P186" s="58">
        <v>0.15422128000000002</v>
      </c>
      <c r="Q186">
        <v>7.8</v>
      </c>
      <c r="R186">
        <v>0.28999999999999998</v>
      </c>
      <c r="S186">
        <v>0.17</v>
      </c>
    </row>
    <row r="187" spans="2:19">
      <c r="B187" s="58" t="s">
        <v>134</v>
      </c>
      <c r="C187" s="58">
        <v>635.02880000000005</v>
      </c>
      <c r="D187" s="59"/>
      <c r="E187" s="59"/>
      <c r="F187" s="58">
        <v>0.90718399999999999</v>
      </c>
      <c r="G187" s="58">
        <v>8.0467220799999986</v>
      </c>
      <c r="H187" s="58">
        <v>11.4</v>
      </c>
      <c r="I187" s="58">
        <v>1.6329312</v>
      </c>
      <c r="J187" s="58">
        <v>1.0160460800000002</v>
      </c>
      <c r="K187" s="58">
        <v>3.7194544000000003E-2</v>
      </c>
      <c r="L187" s="58">
        <v>2.1772415999999999E-2</v>
      </c>
      <c r="M187" s="58">
        <v>13.380964000000001</v>
      </c>
      <c r="N187">
        <v>60.1</v>
      </c>
      <c r="O187" s="58">
        <v>0.27215519999999999</v>
      </c>
      <c r="P187" s="58">
        <v>0.15422128000000002</v>
      </c>
      <c r="Q187">
        <v>7.6</v>
      </c>
      <c r="R187">
        <v>0.28000000000000003</v>
      </c>
      <c r="S187">
        <v>0.16</v>
      </c>
    </row>
    <row r="188" spans="2:19">
      <c r="B188" s="58" t="s">
        <v>134</v>
      </c>
      <c r="C188" s="58">
        <v>680.38800000000003</v>
      </c>
      <c r="D188" s="59"/>
      <c r="E188" s="59"/>
      <c r="F188" s="58">
        <v>0.90718399999999999</v>
      </c>
      <c r="G188" s="58">
        <v>8.46856264</v>
      </c>
      <c r="H188" s="58">
        <v>12</v>
      </c>
      <c r="I188" s="58">
        <v>1.7236495999999999</v>
      </c>
      <c r="J188" s="58">
        <v>1.03872568</v>
      </c>
      <c r="K188" s="58">
        <v>3.8101728000000001E-2</v>
      </c>
      <c r="L188" s="58">
        <v>2.2679600000000001E-2</v>
      </c>
      <c r="M188" s="58">
        <v>14.106711200000001</v>
      </c>
      <c r="N188">
        <v>60.1</v>
      </c>
      <c r="O188" s="58">
        <v>0.27215519999999999</v>
      </c>
      <c r="P188" s="58">
        <v>0.15422128000000002</v>
      </c>
      <c r="Q188">
        <v>7.4</v>
      </c>
      <c r="R188">
        <v>0.27</v>
      </c>
      <c r="S188">
        <v>0.16</v>
      </c>
    </row>
    <row r="189" spans="2:19">
      <c r="B189" s="58" t="s">
        <v>134</v>
      </c>
      <c r="C189" s="58">
        <v>725.74720000000002</v>
      </c>
      <c r="D189" s="59"/>
      <c r="E189" s="59"/>
      <c r="F189" s="58">
        <v>0.90718399999999999</v>
      </c>
      <c r="G189" s="58">
        <v>8.8904031999999997</v>
      </c>
      <c r="H189" s="58">
        <v>12.6</v>
      </c>
      <c r="I189" s="58">
        <v>1.7690087999999999</v>
      </c>
      <c r="J189" s="58">
        <v>1.06140528</v>
      </c>
      <c r="K189" s="58">
        <v>3.8555320000000004E-2</v>
      </c>
      <c r="L189" s="58">
        <v>2.3133191999999997E-2</v>
      </c>
      <c r="M189" s="58">
        <v>14.7870992</v>
      </c>
      <c r="N189">
        <v>60.1</v>
      </c>
      <c r="O189" s="58">
        <v>0.27215519999999999</v>
      </c>
      <c r="P189" s="58">
        <v>0.15422128000000002</v>
      </c>
      <c r="Q189">
        <v>7.2</v>
      </c>
      <c r="R189">
        <v>0.26</v>
      </c>
      <c r="S189">
        <v>0.16</v>
      </c>
    </row>
    <row r="190" spans="2:19">
      <c r="B190" s="58" t="s">
        <v>134</v>
      </c>
      <c r="C190" s="58">
        <v>771.10640000000001</v>
      </c>
      <c r="D190" s="59"/>
      <c r="E190" s="59"/>
      <c r="F190" s="58">
        <v>0.90718399999999999</v>
      </c>
      <c r="G190" s="58">
        <v>9.3077078399999991</v>
      </c>
      <c r="H190" s="58">
        <v>13.2</v>
      </c>
      <c r="I190" s="58">
        <v>1.8597271999999998</v>
      </c>
      <c r="J190" s="58">
        <v>1.08408488</v>
      </c>
      <c r="K190" s="58">
        <v>3.9008912E-2</v>
      </c>
      <c r="L190" s="58">
        <v>2.4040375999999999E-2</v>
      </c>
      <c r="M190" s="58">
        <v>15.467487200000001</v>
      </c>
      <c r="N190">
        <v>60.1</v>
      </c>
      <c r="O190" s="58">
        <v>0.27215519999999999</v>
      </c>
      <c r="P190" s="58">
        <v>0.15422128000000002</v>
      </c>
      <c r="Q190">
        <v>7</v>
      </c>
      <c r="R190">
        <v>0.25</v>
      </c>
      <c r="S190">
        <v>0.16</v>
      </c>
    </row>
    <row r="191" spans="2:19">
      <c r="B191" s="58" t="s">
        <v>134</v>
      </c>
      <c r="C191" s="58">
        <v>816.46559999999999</v>
      </c>
      <c r="D191" s="59"/>
      <c r="E191" s="59"/>
      <c r="F191" s="58">
        <v>0.90718399999999999</v>
      </c>
      <c r="G191" s="58">
        <v>9.7204765599999998</v>
      </c>
      <c r="H191" s="58">
        <v>13.8</v>
      </c>
      <c r="I191" s="58">
        <v>1.9504455999999999</v>
      </c>
      <c r="J191" s="58">
        <v>1.1067644800000001</v>
      </c>
      <c r="K191" s="58">
        <v>3.9916095999999998E-2</v>
      </c>
      <c r="L191" s="58">
        <v>2.4947560000000001E-2</v>
      </c>
      <c r="M191" s="58">
        <v>16.147875200000001</v>
      </c>
      <c r="N191">
        <v>60.1</v>
      </c>
      <c r="O191" s="58">
        <v>0.27215519999999999</v>
      </c>
      <c r="P191" s="58">
        <v>0.15422128000000002</v>
      </c>
      <c r="Q191">
        <v>6.9</v>
      </c>
      <c r="R191">
        <v>0.25</v>
      </c>
      <c r="S191">
        <v>0.15</v>
      </c>
    </row>
    <row r="192" spans="2:19">
      <c r="B192" s="58" t="s">
        <v>134</v>
      </c>
      <c r="C192" s="58">
        <v>408.2328</v>
      </c>
      <c r="F192" s="58">
        <v>1.13398</v>
      </c>
      <c r="G192" s="58">
        <v>6.08266872</v>
      </c>
      <c r="H192" s="58">
        <v>8.1999999999999993</v>
      </c>
      <c r="I192" s="58">
        <v>1.4514944000000001</v>
      </c>
      <c r="J192" s="58">
        <v>0.98429464</v>
      </c>
      <c r="K192" s="58">
        <v>4.0369688000000001E-2</v>
      </c>
      <c r="L192" s="58">
        <v>2.0411639999999998E-2</v>
      </c>
      <c r="M192" s="58">
        <v>9.6161504000000004</v>
      </c>
      <c r="N192">
        <v>63.3</v>
      </c>
      <c r="O192" s="58">
        <v>0.29029887999999998</v>
      </c>
      <c r="P192" s="58">
        <v>0.17236496000000001</v>
      </c>
      <c r="Q192">
        <v>10.199999999999999</v>
      </c>
      <c r="R192">
        <v>0.42</v>
      </c>
      <c r="S192">
        <v>0.21</v>
      </c>
    </row>
    <row r="193" spans="2:19">
      <c r="B193" s="58" t="s">
        <v>134</v>
      </c>
      <c r="C193" s="58">
        <v>453.59199999999998</v>
      </c>
      <c r="D193" s="59"/>
      <c r="E193" s="59"/>
      <c r="F193" s="58">
        <v>1.13398</v>
      </c>
      <c r="G193" s="58">
        <v>6.58615584</v>
      </c>
      <c r="H193" s="58">
        <v>8.9</v>
      </c>
      <c r="I193" s="58">
        <v>1.587572</v>
      </c>
      <c r="J193" s="58">
        <v>1.00243832</v>
      </c>
      <c r="K193" s="58">
        <v>4.0369688000000001E-2</v>
      </c>
      <c r="L193" s="58">
        <v>2.1318824E-2</v>
      </c>
      <c r="M193" s="58">
        <v>10.387256799999999</v>
      </c>
      <c r="N193">
        <v>63.3</v>
      </c>
      <c r="O193" s="58">
        <v>0.29483480000000001</v>
      </c>
      <c r="P193" s="58">
        <v>0.17236496000000001</v>
      </c>
      <c r="Q193">
        <v>9.6999999999999993</v>
      </c>
      <c r="R193">
        <v>0.39</v>
      </c>
      <c r="S193">
        <v>0.2</v>
      </c>
    </row>
    <row r="194" spans="2:19">
      <c r="B194" s="58" t="s">
        <v>134</v>
      </c>
      <c r="C194" s="58">
        <v>498.95119999999997</v>
      </c>
      <c r="D194" s="59"/>
      <c r="E194" s="59"/>
      <c r="F194" s="58">
        <v>1.13398</v>
      </c>
      <c r="G194" s="58">
        <v>7.0578915200000001</v>
      </c>
      <c r="H194" s="58">
        <v>9.5</v>
      </c>
      <c r="I194" s="58">
        <v>1.6782904000000001</v>
      </c>
      <c r="J194" s="58">
        <v>1.0251179199999998</v>
      </c>
      <c r="K194" s="58">
        <v>4.0823279999999997E-2</v>
      </c>
      <c r="L194" s="58">
        <v>2.1772415999999999E-2</v>
      </c>
      <c r="M194" s="58">
        <v>11.1583632</v>
      </c>
      <c r="N194">
        <v>63.2</v>
      </c>
      <c r="O194" s="58">
        <v>0.29029887999999998</v>
      </c>
      <c r="P194" s="58">
        <v>0.17236496000000001</v>
      </c>
      <c r="Q194">
        <v>9.1999999999999993</v>
      </c>
      <c r="R194">
        <v>0.36</v>
      </c>
      <c r="S194">
        <v>0.19</v>
      </c>
    </row>
    <row r="195" spans="2:19">
      <c r="B195" s="58" t="s">
        <v>134</v>
      </c>
      <c r="C195" s="58">
        <v>544.31039999999996</v>
      </c>
      <c r="D195" s="59"/>
      <c r="E195" s="59"/>
      <c r="F195" s="58">
        <v>1.13398</v>
      </c>
      <c r="G195" s="58">
        <v>7.5523067999999993</v>
      </c>
      <c r="H195" s="58">
        <v>10.199999999999999</v>
      </c>
      <c r="I195" s="58">
        <v>1.814368</v>
      </c>
      <c r="J195" s="58">
        <v>1.04779752</v>
      </c>
      <c r="K195" s="58">
        <v>4.0823279999999997E-2</v>
      </c>
      <c r="L195" s="58">
        <v>2.2226008000000002E-2</v>
      </c>
      <c r="M195" s="58">
        <v>11.929469600000001</v>
      </c>
      <c r="N195">
        <v>63.3</v>
      </c>
      <c r="O195" s="58">
        <v>0.29483480000000001</v>
      </c>
      <c r="P195" s="58">
        <v>0.17236496000000001</v>
      </c>
      <c r="Q195">
        <v>8.8000000000000007</v>
      </c>
      <c r="R195">
        <v>0.34</v>
      </c>
      <c r="S195">
        <v>0.19</v>
      </c>
    </row>
    <row r="196" spans="2:19">
      <c r="B196" s="58" t="s">
        <v>134</v>
      </c>
      <c r="C196" s="58">
        <v>589.66959999999995</v>
      </c>
      <c r="D196" s="59"/>
      <c r="E196" s="59"/>
      <c r="F196" s="58">
        <v>1.13398</v>
      </c>
      <c r="G196" s="58">
        <v>8.0104347199999992</v>
      </c>
      <c r="H196" s="58">
        <v>10.8</v>
      </c>
      <c r="I196" s="58">
        <v>1.9050864000000001</v>
      </c>
      <c r="J196" s="58">
        <v>1.0659411999999999</v>
      </c>
      <c r="K196" s="58">
        <v>4.1276871999999999E-2</v>
      </c>
      <c r="L196" s="58">
        <v>2.3133191999999997E-2</v>
      </c>
      <c r="M196" s="58">
        <v>12.6552168</v>
      </c>
      <c r="N196">
        <v>63.3</v>
      </c>
      <c r="O196" s="58">
        <v>0.29029887999999998</v>
      </c>
      <c r="P196" s="58">
        <v>0.17236496000000001</v>
      </c>
      <c r="Q196">
        <v>8.4</v>
      </c>
      <c r="R196">
        <v>0.33</v>
      </c>
      <c r="S196">
        <v>0.18</v>
      </c>
    </row>
    <row r="197" spans="2:19">
      <c r="B197" s="58" t="s">
        <v>134</v>
      </c>
      <c r="C197" s="58">
        <v>635.02880000000005</v>
      </c>
      <c r="D197" s="59"/>
      <c r="E197" s="59"/>
      <c r="F197" s="58">
        <v>1.13398</v>
      </c>
      <c r="G197" s="58">
        <v>8.4640267199999997</v>
      </c>
      <c r="H197" s="58">
        <v>11.4</v>
      </c>
      <c r="I197" s="58">
        <v>1.9958048000000002</v>
      </c>
      <c r="J197" s="58">
        <v>1.0886207999999999</v>
      </c>
      <c r="K197" s="58">
        <v>4.1730464000000002E-2</v>
      </c>
      <c r="L197" s="58">
        <v>2.3586784E-2</v>
      </c>
      <c r="M197" s="58">
        <v>13.380964000000001</v>
      </c>
      <c r="N197">
        <v>63.2</v>
      </c>
      <c r="O197" s="58">
        <v>0.29029887999999998</v>
      </c>
      <c r="P197" s="58">
        <v>0.17236496000000001</v>
      </c>
      <c r="Q197">
        <v>8.1</v>
      </c>
      <c r="R197">
        <v>0.31</v>
      </c>
      <c r="S197">
        <v>0.18</v>
      </c>
    </row>
    <row r="198" spans="2:19">
      <c r="B198" s="58" t="s">
        <v>134</v>
      </c>
      <c r="C198" s="58">
        <v>680.38800000000003</v>
      </c>
      <c r="D198" s="59"/>
      <c r="E198" s="59"/>
      <c r="F198" s="58">
        <v>1.13398</v>
      </c>
      <c r="G198" s="58">
        <v>8.9085468799999994</v>
      </c>
      <c r="H198" s="58">
        <v>12</v>
      </c>
      <c r="I198" s="58">
        <v>2.1318823999999998</v>
      </c>
      <c r="J198" s="58">
        <v>1.1067644800000001</v>
      </c>
      <c r="K198" s="58">
        <v>4.2184055999999998E-2</v>
      </c>
      <c r="L198" s="58">
        <v>2.4040375999999999E-2</v>
      </c>
      <c r="M198" s="58">
        <v>14.106711200000001</v>
      </c>
      <c r="N198">
        <v>63.2</v>
      </c>
      <c r="O198" s="58">
        <v>0.29029887999999998</v>
      </c>
      <c r="P198" s="58">
        <v>0.17236496000000001</v>
      </c>
      <c r="Q198">
        <v>7.9</v>
      </c>
      <c r="R198">
        <v>0.3</v>
      </c>
      <c r="S198">
        <v>0.17</v>
      </c>
    </row>
    <row r="199" spans="2:19">
      <c r="B199" s="58" t="s">
        <v>134</v>
      </c>
      <c r="C199" s="58">
        <v>725.74720000000002</v>
      </c>
      <c r="D199" s="59"/>
      <c r="E199" s="59"/>
      <c r="F199" s="58">
        <v>1.13398</v>
      </c>
      <c r="G199" s="58">
        <v>9.3576029599999995</v>
      </c>
      <c r="H199" s="58">
        <v>12.6</v>
      </c>
      <c r="I199" s="58">
        <v>2.2226007999999999</v>
      </c>
      <c r="J199" s="58">
        <v>1.1294440800000001</v>
      </c>
      <c r="K199" s="58">
        <v>4.2184055999999998E-2</v>
      </c>
      <c r="L199" s="58">
        <v>2.4947560000000001E-2</v>
      </c>
      <c r="M199" s="58">
        <v>14.7870992</v>
      </c>
      <c r="N199">
        <v>63.2</v>
      </c>
      <c r="O199" s="58">
        <v>0.29029887999999998</v>
      </c>
      <c r="P199" s="58">
        <v>0.17236496000000001</v>
      </c>
      <c r="Q199">
        <v>7.6</v>
      </c>
      <c r="R199">
        <v>0.28999999999999998</v>
      </c>
      <c r="S199">
        <v>0.17</v>
      </c>
    </row>
    <row r="200" spans="2:19">
      <c r="B200" s="58" t="s">
        <v>134</v>
      </c>
      <c r="C200" s="58">
        <v>771.10640000000001</v>
      </c>
      <c r="D200" s="59"/>
      <c r="E200" s="59"/>
      <c r="F200" s="58">
        <v>1.13398</v>
      </c>
      <c r="G200" s="58">
        <v>9.7930512800000002</v>
      </c>
      <c r="H200" s="58">
        <v>13.2</v>
      </c>
      <c r="I200" s="58">
        <v>2.3133192</v>
      </c>
      <c r="J200" s="58">
        <v>1.14758776</v>
      </c>
      <c r="K200" s="58">
        <v>4.2637648E-2</v>
      </c>
      <c r="L200" s="58">
        <v>2.5401152E-2</v>
      </c>
      <c r="M200" s="58">
        <v>15.467487200000001</v>
      </c>
      <c r="N200">
        <v>63.2</v>
      </c>
      <c r="O200" s="58">
        <v>0.29029887999999998</v>
      </c>
      <c r="P200" s="58">
        <v>0.17236496000000001</v>
      </c>
      <c r="Q200">
        <v>7.4</v>
      </c>
      <c r="R200">
        <v>0.28000000000000003</v>
      </c>
      <c r="S200">
        <v>0.16</v>
      </c>
    </row>
    <row r="201" spans="2:19">
      <c r="B201" s="58" t="s">
        <v>134</v>
      </c>
      <c r="C201" s="58">
        <v>816.46559999999999</v>
      </c>
      <c r="D201" s="59"/>
      <c r="E201" s="59"/>
      <c r="F201" s="58">
        <v>1.13398</v>
      </c>
      <c r="G201" s="58">
        <v>10.228499600000001</v>
      </c>
      <c r="H201" s="58">
        <v>13.8</v>
      </c>
      <c r="I201" s="58">
        <v>2.4040376000000001</v>
      </c>
      <c r="J201" s="58">
        <v>1.1657314399999998</v>
      </c>
      <c r="K201" s="58">
        <v>4.3091240000000003E-2</v>
      </c>
      <c r="L201" s="58">
        <v>2.6308336000000002E-2</v>
      </c>
      <c r="M201" s="58">
        <v>16.147875200000001</v>
      </c>
      <c r="N201">
        <v>63.3</v>
      </c>
      <c r="O201" s="58">
        <v>0.29029887999999998</v>
      </c>
      <c r="P201" s="58">
        <v>0.17236496000000001</v>
      </c>
      <c r="Q201">
        <v>7.2</v>
      </c>
      <c r="R201">
        <v>0.27</v>
      </c>
      <c r="S201">
        <v>0.16</v>
      </c>
    </row>
    <row r="202" spans="2:19">
      <c r="B202" s="58" t="s">
        <v>134</v>
      </c>
      <c r="C202" s="58">
        <v>408.2328</v>
      </c>
      <c r="F202" s="58">
        <v>1.360776</v>
      </c>
      <c r="G202" s="58">
        <v>6.3684316799999996</v>
      </c>
      <c r="H202" s="58">
        <v>8.1999999999999993</v>
      </c>
      <c r="I202" s="58">
        <v>1.7690087999999999</v>
      </c>
      <c r="J202" s="58">
        <v>1.07501304</v>
      </c>
      <c r="K202" s="58">
        <v>4.5359200000000002E-2</v>
      </c>
      <c r="L202" s="58">
        <v>2.2679600000000001E-2</v>
      </c>
      <c r="M202" s="58">
        <v>9.5707912000000004</v>
      </c>
      <c r="N202">
        <v>66.599999999999994</v>
      </c>
      <c r="O202" s="58">
        <v>0.31297847999999995</v>
      </c>
      <c r="P202" s="58">
        <v>0.19050863999999998</v>
      </c>
      <c r="Q202">
        <v>11.2</v>
      </c>
      <c r="R202">
        <v>0.48</v>
      </c>
      <c r="S202">
        <v>0.24</v>
      </c>
    </row>
    <row r="203" spans="2:19">
      <c r="B203" s="58" t="s">
        <v>134</v>
      </c>
      <c r="C203" s="58">
        <v>453.59199999999998</v>
      </c>
      <c r="D203" s="59"/>
      <c r="E203" s="59"/>
      <c r="F203" s="58">
        <v>1.360776</v>
      </c>
      <c r="G203" s="58">
        <v>6.8945983999999996</v>
      </c>
      <c r="H203" s="58">
        <v>8.9</v>
      </c>
      <c r="I203" s="58">
        <v>1.9050864000000001</v>
      </c>
      <c r="J203" s="58">
        <v>1.0931567200000001</v>
      </c>
      <c r="K203" s="58">
        <v>4.5359200000000002E-2</v>
      </c>
      <c r="L203" s="58">
        <v>2.3133191999999997E-2</v>
      </c>
      <c r="M203" s="58">
        <v>10.341897599999999</v>
      </c>
      <c r="N203">
        <v>66.7</v>
      </c>
      <c r="O203" s="58">
        <v>0.31297847999999995</v>
      </c>
      <c r="P203" s="58">
        <v>0.19050863999999998</v>
      </c>
      <c r="Q203">
        <v>10.6</v>
      </c>
      <c r="R203">
        <v>0.44</v>
      </c>
      <c r="S203">
        <v>0.22</v>
      </c>
    </row>
    <row r="204" spans="2:19">
      <c r="B204" s="58" t="s">
        <v>134</v>
      </c>
      <c r="C204" s="58">
        <v>498.95119999999997</v>
      </c>
      <c r="D204" s="59"/>
      <c r="E204" s="59"/>
      <c r="F204" s="58">
        <v>1.360776</v>
      </c>
      <c r="G204" s="58">
        <v>7.3890136799999997</v>
      </c>
      <c r="H204" s="58">
        <v>9.5</v>
      </c>
      <c r="I204" s="58">
        <v>2.0411640000000002</v>
      </c>
      <c r="J204" s="58">
        <v>1.1113004</v>
      </c>
      <c r="K204" s="58">
        <v>4.5359200000000002E-2</v>
      </c>
      <c r="L204" s="58">
        <v>2.3586784E-2</v>
      </c>
      <c r="M204" s="58">
        <v>11.113004</v>
      </c>
      <c r="N204">
        <v>66.5</v>
      </c>
      <c r="O204" s="58">
        <v>0.31297847999999995</v>
      </c>
      <c r="P204" s="58">
        <v>0.19050863999999998</v>
      </c>
      <c r="Q204">
        <v>10</v>
      </c>
      <c r="R204">
        <v>0.41</v>
      </c>
      <c r="S204">
        <v>0.21</v>
      </c>
    </row>
    <row r="205" spans="2:19">
      <c r="B205" s="58" t="s">
        <v>134</v>
      </c>
      <c r="C205" s="58">
        <v>544.31039999999996</v>
      </c>
      <c r="D205" s="59"/>
      <c r="E205" s="59"/>
      <c r="F205" s="58">
        <v>1.360776</v>
      </c>
      <c r="G205" s="58">
        <v>7.9061085599999998</v>
      </c>
      <c r="H205" s="58">
        <v>10.199999999999999</v>
      </c>
      <c r="I205" s="58">
        <v>2.1772415999999999</v>
      </c>
      <c r="J205" s="58">
        <v>1.1249081599999999</v>
      </c>
      <c r="K205" s="58">
        <v>4.5359200000000002E-2</v>
      </c>
      <c r="L205" s="58">
        <v>2.4040375999999999E-2</v>
      </c>
      <c r="M205" s="58">
        <v>11.838751200000001</v>
      </c>
      <c r="N205">
        <v>66.7</v>
      </c>
      <c r="O205" s="58">
        <v>0.31297847999999995</v>
      </c>
      <c r="P205" s="58">
        <v>0.19050863999999998</v>
      </c>
      <c r="Q205">
        <v>9.5</v>
      </c>
      <c r="R205">
        <v>0.38</v>
      </c>
      <c r="S205">
        <v>0.2</v>
      </c>
    </row>
    <row r="206" spans="2:19">
      <c r="B206" s="58" t="s">
        <v>134</v>
      </c>
      <c r="C206" s="58">
        <v>589.66959999999995</v>
      </c>
      <c r="D206" s="59"/>
      <c r="E206" s="59"/>
      <c r="F206" s="58">
        <v>1.360776</v>
      </c>
      <c r="G206" s="58">
        <v>8.3869160799999989</v>
      </c>
      <c r="H206" s="58">
        <v>10.8</v>
      </c>
      <c r="I206" s="58">
        <v>2.3133192</v>
      </c>
      <c r="J206" s="58">
        <v>1.14305184</v>
      </c>
      <c r="K206" s="58">
        <v>4.5812792000000005E-2</v>
      </c>
      <c r="L206" s="58">
        <v>2.4947560000000001E-2</v>
      </c>
      <c r="M206" s="58">
        <v>12.5644984</v>
      </c>
      <c r="N206">
        <v>66.599999999999994</v>
      </c>
      <c r="O206" s="58">
        <v>0.31297847999999995</v>
      </c>
      <c r="P206" s="58">
        <v>0.19050863999999998</v>
      </c>
      <c r="Q206">
        <v>9.1</v>
      </c>
      <c r="R206">
        <v>0.36</v>
      </c>
      <c r="S206">
        <v>0.2</v>
      </c>
    </row>
    <row r="207" spans="2:19">
      <c r="B207" s="58" t="s">
        <v>134</v>
      </c>
      <c r="C207" s="58">
        <v>635.02880000000005</v>
      </c>
      <c r="D207" s="59"/>
      <c r="E207" s="59"/>
      <c r="F207" s="58">
        <v>1.360776</v>
      </c>
      <c r="G207" s="58">
        <v>8.8631876799999993</v>
      </c>
      <c r="H207" s="58">
        <v>11.4</v>
      </c>
      <c r="I207" s="58">
        <v>2.4493968000000002</v>
      </c>
      <c r="J207" s="58">
        <v>1.1611955199999999</v>
      </c>
      <c r="K207" s="58">
        <v>4.5812792000000005E-2</v>
      </c>
      <c r="L207" s="58">
        <v>2.5401152E-2</v>
      </c>
      <c r="M207" s="58">
        <v>13.2902456</v>
      </c>
      <c r="N207">
        <v>66.599999999999994</v>
      </c>
      <c r="O207" s="58">
        <v>0.31297847999999995</v>
      </c>
      <c r="P207" s="58">
        <v>0.19050863999999998</v>
      </c>
      <c r="Q207">
        <v>8.6999999999999993</v>
      </c>
      <c r="R207">
        <v>0.34</v>
      </c>
      <c r="S207">
        <v>0.19</v>
      </c>
    </row>
    <row r="208" spans="2:19">
      <c r="B208" s="58" t="s">
        <v>134</v>
      </c>
      <c r="C208" s="58">
        <v>680.38800000000003</v>
      </c>
      <c r="D208" s="59"/>
      <c r="E208" s="59"/>
      <c r="F208" s="58">
        <v>1.360776</v>
      </c>
      <c r="G208" s="58">
        <v>9.3349233599999994</v>
      </c>
      <c r="H208" s="58">
        <v>12</v>
      </c>
      <c r="I208" s="58">
        <v>2.5854743999999998</v>
      </c>
      <c r="J208" s="58">
        <v>1.1748032799999999</v>
      </c>
      <c r="K208" s="58">
        <v>4.5812792000000005E-2</v>
      </c>
      <c r="L208" s="58">
        <v>2.5854743999999999E-2</v>
      </c>
      <c r="M208" s="58">
        <v>14.015992799999999</v>
      </c>
      <c r="N208">
        <v>66.599999999999994</v>
      </c>
      <c r="O208" s="58">
        <v>0.31297847999999995</v>
      </c>
      <c r="P208" s="58">
        <v>0.19050863999999998</v>
      </c>
      <c r="Q208">
        <v>8.4</v>
      </c>
      <c r="R208">
        <v>0.33</v>
      </c>
      <c r="S208">
        <v>0.18</v>
      </c>
    </row>
    <row r="209" spans="1:19">
      <c r="B209" s="58" t="s">
        <v>134</v>
      </c>
      <c r="C209" s="58">
        <v>725.74720000000002</v>
      </c>
      <c r="D209" s="59"/>
      <c r="E209" s="59"/>
      <c r="F209" s="58">
        <v>1.360776</v>
      </c>
      <c r="G209" s="58">
        <v>9.7930512800000002</v>
      </c>
      <c r="H209" s="58">
        <v>12.6</v>
      </c>
      <c r="I209" s="58">
        <v>2.6761927999999999</v>
      </c>
      <c r="J209" s="58">
        <v>1.19294696</v>
      </c>
      <c r="K209" s="58">
        <v>4.6266383999999994E-2</v>
      </c>
      <c r="L209" s="58">
        <v>2.6308336000000002E-2</v>
      </c>
      <c r="M209" s="58">
        <v>14.6963808</v>
      </c>
      <c r="N209">
        <v>66.599999999999994</v>
      </c>
      <c r="O209" s="58">
        <v>0.31297847999999995</v>
      </c>
      <c r="P209" s="58">
        <v>0.19050863999999998</v>
      </c>
      <c r="Q209">
        <v>8.1</v>
      </c>
      <c r="R209">
        <v>0.31</v>
      </c>
      <c r="S209">
        <v>0.18</v>
      </c>
    </row>
    <row r="210" spans="1:19">
      <c r="B210" s="58" t="s">
        <v>134</v>
      </c>
      <c r="C210" s="58">
        <v>771.10640000000001</v>
      </c>
      <c r="D210" s="59"/>
      <c r="E210" s="59"/>
      <c r="F210" s="58">
        <v>1.360776</v>
      </c>
      <c r="G210" s="58">
        <v>10.25571512</v>
      </c>
      <c r="H210" s="58">
        <v>13.2</v>
      </c>
      <c r="I210" s="58">
        <v>2.8122704000000001</v>
      </c>
      <c r="J210" s="58">
        <v>1.20655472</v>
      </c>
      <c r="K210" s="58">
        <v>4.6266383999999994E-2</v>
      </c>
      <c r="L210" s="58">
        <v>2.6761927999999997E-2</v>
      </c>
      <c r="M210" s="58">
        <v>15.376768799999999</v>
      </c>
      <c r="N210">
        <v>66.599999999999994</v>
      </c>
      <c r="O210" s="58">
        <v>0.31297847999999995</v>
      </c>
      <c r="P210" s="58">
        <v>0.19050863999999998</v>
      </c>
      <c r="Q210">
        <v>7.8</v>
      </c>
      <c r="R210">
        <v>0.3</v>
      </c>
      <c r="S210">
        <v>0.17</v>
      </c>
    </row>
    <row r="211" spans="1:19">
      <c r="B211" s="58" t="s">
        <v>134</v>
      </c>
      <c r="C211" s="58">
        <v>816.46559999999999</v>
      </c>
      <c r="D211" s="59"/>
      <c r="E211" s="59"/>
      <c r="F211" s="58">
        <v>1.360776</v>
      </c>
      <c r="G211" s="58">
        <v>10.70930712</v>
      </c>
      <c r="H211" s="58">
        <v>13.8</v>
      </c>
      <c r="I211" s="58">
        <v>2.9483480000000002</v>
      </c>
      <c r="J211" s="58">
        <v>1.2246984000000001</v>
      </c>
      <c r="K211" s="58">
        <v>4.6266383999999994E-2</v>
      </c>
      <c r="L211" s="58">
        <v>2.7669111999999999E-2</v>
      </c>
      <c r="M211" s="58">
        <v>16.057156799999998</v>
      </c>
      <c r="N211">
        <v>66.7</v>
      </c>
      <c r="O211" s="58">
        <v>0.31297847999999995</v>
      </c>
      <c r="P211" s="58">
        <v>0.19050863999999998</v>
      </c>
      <c r="Q211">
        <v>7.6</v>
      </c>
      <c r="R211">
        <v>0.28999999999999998</v>
      </c>
      <c r="S211">
        <v>0.17</v>
      </c>
    </row>
    <row r="212" spans="1:19">
      <c r="B212" s="58" t="s">
        <v>134</v>
      </c>
      <c r="C212" s="58">
        <v>408.2328</v>
      </c>
      <c r="F212" s="58">
        <v>1.587572</v>
      </c>
      <c r="G212" s="58">
        <v>6.6405868799999999</v>
      </c>
      <c r="H212" s="58">
        <v>8.1999999999999993</v>
      </c>
      <c r="I212" s="58">
        <v>2.0865231999999998</v>
      </c>
      <c r="J212" s="58">
        <v>1.1657314399999998</v>
      </c>
      <c r="K212" s="58">
        <v>5.0802304E-2</v>
      </c>
      <c r="L212" s="58">
        <v>2.4947560000000001E-2</v>
      </c>
      <c r="M212" s="58">
        <v>9.4347136000000003</v>
      </c>
      <c r="N212">
        <v>70.400000000000006</v>
      </c>
      <c r="O212" s="58">
        <v>0.340194</v>
      </c>
      <c r="P212" s="58">
        <v>0.21318823999999997</v>
      </c>
      <c r="Q212">
        <v>12.3</v>
      </c>
      <c r="R212">
        <v>0.54</v>
      </c>
      <c r="S212">
        <v>0.26</v>
      </c>
    </row>
    <row r="213" spans="1:19">
      <c r="B213" s="58" t="s">
        <v>134</v>
      </c>
      <c r="C213" s="58">
        <v>453.59199999999998</v>
      </c>
      <c r="D213" s="59"/>
      <c r="E213" s="59"/>
      <c r="F213" s="58">
        <v>1.587572</v>
      </c>
      <c r="G213" s="58">
        <v>7.1894331999999999</v>
      </c>
      <c r="H213" s="58">
        <v>8.9</v>
      </c>
      <c r="I213" s="58">
        <v>2.26796</v>
      </c>
      <c r="J213" s="58">
        <v>1.1793392</v>
      </c>
      <c r="K213" s="58">
        <v>5.0348711999999997E-2</v>
      </c>
      <c r="L213" s="58">
        <v>2.5401152E-2</v>
      </c>
      <c r="M213" s="58">
        <v>10.205819999999999</v>
      </c>
      <c r="N213">
        <v>70.400000000000006</v>
      </c>
      <c r="O213" s="58">
        <v>0.340194</v>
      </c>
      <c r="P213" s="58">
        <v>0.21318823999999997</v>
      </c>
      <c r="Q213">
        <v>11.5</v>
      </c>
      <c r="R213">
        <v>0.49</v>
      </c>
      <c r="S213">
        <v>0.25</v>
      </c>
    </row>
    <row r="214" spans="1:19">
      <c r="B214" s="58" t="s">
        <v>134</v>
      </c>
      <c r="C214" s="58">
        <v>498.95119999999997</v>
      </c>
      <c r="D214" s="59"/>
      <c r="E214" s="59"/>
      <c r="F214" s="58">
        <v>1.587572</v>
      </c>
      <c r="G214" s="58">
        <v>7.7110640000000004</v>
      </c>
      <c r="H214" s="58">
        <v>9.5</v>
      </c>
      <c r="I214" s="58">
        <v>2.4493968000000002</v>
      </c>
      <c r="J214" s="58">
        <v>1.19294696</v>
      </c>
      <c r="K214" s="58">
        <v>5.0348711999999997E-2</v>
      </c>
      <c r="L214" s="58">
        <v>2.5854743999999999E-2</v>
      </c>
      <c r="M214" s="58">
        <v>10.9769264</v>
      </c>
      <c r="N214">
        <v>70.3</v>
      </c>
      <c r="O214" s="58">
        <v>0.340194</v>
      </c>
      <c r="P214" s="58">
        <v>0.21318823999999997</v>
      </c>
      <c r="Q214">
        <v>10.9</v>
      </c>
      <c r="R214">
        <v>0.46</v>
      </c>
      <c r="S214">
        <v>0.23</v>
      </c>
    </row>
    <row r="215" spans="1:19">
      <c r="B215" s="58" t="s">
        <v>134</v>
      </c>
      <c r="C215" s="58">
        <v>544.31039999999996</v>
      </c>
      <c r="D215" s="59"/>
      <c r="E215" s="59"/>
      <c r="F215" s="58">
        <v>1.587572</v>
      </c>
      <c r="G215" s="58">
        <v>8.2463025600000002</v>
      </c>
      <c r="H215" s="58">
        <v>10.199999999999999</v>
      </c>
      <c r="I215" s="58">
        <v>2.5854743999999998</v>
      </c>
      <c r="J215" s="58">
        <v>1.20655472</v>
      </c>
      <c r="K215" s="58">
        <v>5.0348711999999997E-2</v>
      </c>
      <c r="L215" s="58">
        <v>2.5854743999999999E-2</v>
      </c>
      <c r="M215" s="58">
        <v>11.702673600000001</v>
      </c>
      <c r="N215">
        <v>70.400000000000006</v>
      </c>
      <c r="O215" s="58">
        <v>0.340194</v>
      </c>
      <c r="P215" s="58">
        <v>0.21318823999999997</v>
      </c>
      <c r="Q215">
        <v>10.3</v>
      </c>
      <c r="R215">
        <v>0.43</v>
      </c>
      <c r="S215">
        <v>0.22</v>
      </c>
    </row>
    <row r="216" spans="1:19">
      <c r="B216" s="58" t="s">
        <v>134</v>
      </c>
      <c r="C216" s="58">
        <v>589.66959999999995</v>
      </c>
      <c r="D216" s="59"/>
      <c r="E216" s="59"/>
      <c r="F216" s="58">
        <v>1.587572</v>
      </c>
      <c r="G216" s="58">
        <v>8.7452537600000007</v>
      </c>
      <c r="H216" s="58">
        <v>10.8</v>
      </c>
      <c r="I216" s="58">
        <v>2.7669112</v>
      </c>
      <c r="J216" s="58">
        <v>1.2201624799999999</v>
      </c>
      <c r="K216" s="58">
        <v>4.9895120000000001E-2</v>
      </c>
      <c r="L216" s="58">
        <v>2.6308336000000002E-2</v>
      </c>
      <c r="M216" s="58">
        <v>12.4284208</v>
      </c>
      <c r="N216">
        <v>70.3</v>
      </c>
      <c r="O216" s="58">
        <v>0.340194</v>
      </c>
      <c r="P216" s="58">
        <v>0.21318823999999997</v>
      </c>
      <c r="Q216">
        <v>9.8000000000000007</v>
      </c>
      <c r="R216">
        <v>0.4</v>
      </c>
      <c r="S216">
        <v>0.21</v>
      </c>
    </row>
    <row r="217" spans="1:19">
      <c r="B217" s="58" t="s">
        <v>134</v>
      </c>
      <c r="C217" s="58">
        <v>635.02880000000005</v>
      </c>
      <c r="D217" s="59"/>
      <c r="E217" s="59"/>
      <c r="F217" s="58">
        <v>1.587572</v>
      </c>
      <c r="G217" s="58">
        <v>9.2396690400000008</v>
      </c>
      <c r="H217" s="58">
        <v>11.4</v>
      </c>
      <c r="I217" s="58">
        <v>2.9483480000000002</v>
      </c>
      <c r="J217" s="58">
        <v>1.22923432</v>
      </c>
      <c r="K217" s="58">
        <v>4.9895120000000001E-2</v>
      </c>
      <c r="L217" s="58">
        <v>2.6761927999999997E-2</v>
      </c>
      <c r="M217" s="58">
        <v>13.154168</v>
      </c>
      <c r="N217">
        <v>70.3</v>
      </c>
      <c r="O217" s="58">
        <v>0.340194</v>
      </c>
      <c r="P217" s="58">
        <v>0.21318823999999997</v>
      </c>
      <c r="Q217">
        <v>9.4</v>
      </c>
      <c r="R217">
        <v>0.38</v>
      </c>
      <c r="S217">
        <v>0.2</v>
      </c>
    </row>
    <row r="218" spans="1:19">
      <c r="B218" s="58" t="s">
        <v>134</v>
      </c>
      <c r="C218" s="58">
        <v>680.38800000000003</v>
      </c>
      <c r="D218" s="59"/>
      <c r="E218" s="59"/>
      <c r="F218" s="58">
        <v>1.587572</v>
      </c>
      <c r="G218" s="58">
        <v>9.7295483999999988</v>
      </c>
      <c r="H218" s="58">
        <v>12</v>
      </c>
      <c r="I218" s="58">
        <v>3.0844255999999999</v>
      </c>
      <c r="J218" s="58">
        <v>1.2428420800000002</v>
      </c>
      <c r="K218" s="58">
        <v>4.9895120000000001E-2</v>
      </c>
      <c r="L218" s="58">
        <v>2.721552E-2</v>
      </c>
      <c r="M218" s="58">
        <v>13.834555999999999</v>
      </c>
      <c r="N218">
        <v>70.3</v>
      </c>
      <c r="O218" s="58">
        <v>0.340194</v>
      </c>
      <c r="P218" s="58">
        <v>0.21318823999999997</v>
      </c>
      <c r="Q218">
        <v>9</v>
      </c>
      <c r="R218">
        <v>0.36</v>
      </c>
      <c r="S218">
        <v>0.2</v>
      </c>
    </row>
    <row r="219" spans="1:19">
      <c r="B219" s="58" t="s">
        <v>134</v>
      </c>
      <c r="C219" s="58">
        <v>725.74720000000002</v>
      </c>
      <c r="D219" s="59"/>
      <c r="E219" s="59"/>
      <c r="F219" s="58">
        <v>1.587572</v>
      </c>
      <c r="G219" s="58">
        <v>10.21489184</v>
      </c>
      <c r="H219" s="58">
        <v>12.6</v>
      </c>
      <c r="I219" s="58">
        <v>3.2205032</v>
      </c>
      <c r="J219" s="58">
        <v>1.2564498399999999</v>
      </c>
      <c r="K219" s="58">
        <v>4.9895120000000001E-2</v>
      </c>
      <c r="L219" s="58">
        <v>2.7669111999999999E-2</v>
      </c>
      <c r="M219" s="58">
        <v>14.514944</v>
      </c>
      <c r="N219">
        <v>70.3</v>
      </c>
      <c r="O219" s="58">
        <v>0.340194</v>
      </c>
      <c r="P219" s="58">
        <v>0.21318823999999997</v>
      </c>
      <c r="Q219">
        <v>8.6</v>
      </c>
      <c r="R219">
        <v>0.34</v>
      </c>
      <c r="S219">
        <v>0.19</v>
      </c>
    </row>
    <row r="220" spans="1:19">
      <c r="B220" s="58" t="s">
        <v>134</v>
      </c>
      <c r="C220" s="58">
        <v>771.10640000000001</v>
      </c>
      <c r="D220" s="59"/>
      <c r="E220" s="59"/>
      <c r="F220" s="58">
        <v>1.587572</v>
      </c>
      <c r="G220" s="58">
        <v>10.69116344</v>
      </c>
      <c r="H220" s="58">
        <v>13.2</v>
      </c>
      <c r="I220" s="58">
        <v>3.4019399999999997</v>
      </c>
      <c r="J220" s="58">
        <v>1.26552168</v>
      </c>
      <c r="K220" s="58">
        <v>4.9895120000000001E-2</v>
      </c>
      <c r="L220" s="58">
        <v>2.8122703999999998E-2</v>
      </c>
      <c r="M220" s="58">
        <v>15.195332000000001</v>
      </c>
      <c r="N220">
        <v>70.3</v>
      </c>
      <c r="O220" s="58">
        <v>0.340194</v>
      </c>
      <c r="P220" s="58">
        <v>0.21318823999999997</v>
      </c>
      <c r="Q220">
        <v>8.3000000000000007</v>
      </c>
      <c r="R220">
        <v>0.33</v>
      </c>
      <c r="S220">
        <v>0.19</v>
      </c>
    </row>
    <row r="221" spans="1:19">
      <c r="B221" s="58" t="s">
        <v>134</v>
      </c>
      <c r="C221" s="58">
        <v>816.46559999999999</v>
      </c>
      <c r="D221" s="59"/>
      <c r="E221" s="59"/>
      <c r="F221" s="58">
        <v>1.587572</v>
      </c>
      <c r="G221" s="58">
        <v>11.167435040000001</v>
      </c>
      <c r="H221" s="58">
        <v>13.8</v>
      </c>
      <c r="I221" s="58">
        <v>3.5380175999999999</v>
      </c>
      <c r="J221" s="58">
        <v>1.27912944</v>
      </c>
      <c r="K221" s="58">
        <v>4.9895120000000001E-2</v>
      </c>
      <c r="L221" s="58">
        <v>2.8576296000000001E-2</v>
      </c>
      <c r="M221" s="58">
        <v>15.875719999999999</v>
      </c>
      <c r="N221">
        <v>70.400000000000006</v>
      </c>
      <c r="O221" s="58">
        <v>0.340194</v>
      </c>
      <c r="P221" s="58">
        <v>0.21318823999999997</v>
      </c>
      <c r="Q221">
        <v>8.1</v>
      </c>
      <c r="R221">
        <v>0.31</v>
      </c>
      <c r="S221">
        <v>0.18</v>
      </c>
    </row>
    <row r="222" spans="1:19">
      <c r="B222" s="58" t="s">
        <v>134</v>
      </c>
      <c r="C222" s="58"/>
      <c r="G222" s="58">
        <v>0</v>
      </c>
      <c r="H222" s="58">
        <v>0</v>
      </c>
      <c r="I222" s="58">
        <v>0</v>
      </c>
      <c r="J222" s="58">
        <v>0</v>
      </c>
      <c r="K222" s="58">
        <v>0</v>
      </c>
      <c r="L222" s="58">
        <v>0</v>
      </c>
      <c r="M222" s="58"/>
      <c r="O222" s="58"/>
      <c r="P222" s="58"/>
    </row>
    <row r="223" spans="1:19">
      <c r="B223" s="58" t="s">
        <v>134</v>
      </c>
      <c r="C223" s="58"/>
      <c r="G223" s="58" t="e">
        <v>#VALUE!</v>
      </c>
      <c r="H223" s="58">
        <v>0</v>
      </c>
      <c r="I223" s="58">
        <v>0</v>
      </c>
      <c r="J223" s="58">
        <v>0</v>
      </c>
      <c r="K223" s="58">
        <v>0</v>
      </c>
      <c r="L223" s="58">
        <v>0</v>
      </c>
    </row>
    <row r="224" spans="1:19">
      <c r="A224" t="s">
        <v>72</v>
      </c>
      <c r="B224" s="58" t="s">
        <v>132</v>
      </c>
      <c r="C224" s="58"/>
      <c r="G224" s="58" t="s">
        <v>130</v>
      </c>
      <c r="H224" s="58" t="s">
        <v>23</v>
      </c>
      <c r="I224" s="58" t="s">
        <v>129</v>
      </c>
      <c r="J224" s="58" t="s">
        <v>117</v>
      </c>
      <c r="K224" s="58" t="s">
        <v>118</v>
      </c>
      <c r="L224" s="58" t="s">
        <v>119</v>
      </c>
      <c r="M224" s="58" t="s">
        <v>120</v>
      </c>
      <c r="N224" t="s">
        <v>16</v>
      </c>
      <c r="O224" s="58" t="s">
        <v>126</v>
      </c>
      <c r="P224" s="58" t="s">
        <v>127</v>
      </c>
      <c r="Q224" t="s">
        <v>18</v>
      </c>
      <c r="R224" t="s">
        <v>19</v>
      </c>
      <c r="S224" t="s">
        <v>20</v>
      </c>
    </row>
    <row r="225" spans="2:19">
      <c r="B225" s="58">
        <v>816.46559999999999</v>
      </c>
      <c r="C225" s="58"/>
      <c r="G225" s="58">
        <v>7.2574719999999999</v>
      </c>
      <c r="H225" s="58">
        <v>13.8</v>
      </c>
      <c r="I225" s="58">
        <v>0</v>
      </c>
      <c r="J225" s="58">
        <v>0.84368112000000006</v>
      </c>
      <c r="K225" s="58">
        <v>2.4040375999999999E-2</v>
      </c>
      <c r="L225" s="58">
        <v>1.8597272000000001E-2</v>
      </c>
      <c r="M225" s="58">
        <v>14.832458400000002</v>
      </c>
      <c r="N225">
        <v>48.9</v>
      </c>
      <c r="O225" s="58">
        <v>0.19050863999999998</v>
      </c>
      <c r="P225" s="58">
        <v>8.1646559999999993E-2</v>
      </c>
      <c r="Q225">
        <v>5.7</v>
      </c>
      <c r="R225">
        <v>0.16</v>
      </c>
      <c r="S225">
        <v>0.12</v>
      </c>
    </row>
    <row r="226" spans="2:19">
      <c r="B226" s="58">
        <v>997.90239999999994</v>
      </c>
      <c r="C226" s="58"/>
      <c r="G226" s="58">
        <v>8.4368112000000011</v>
      </c>
      <c r="H226" s="58">
        <v>16</v>
      </c>
      <c r="I226" s="58">
        <v>0</v>
      </c>
      <c r="J226" s="58">
        <v>0.97975872000000008</v>
      </c>
      <c r="K226" s="58">
        <v>2.9483479999999999E-2</v>
      </c>
      <c r="L226" s="58">
        <v>2.2679600000000001E-2</v>
      </c>
      <c r="M226" s="58">
        <v>17.236495999999999</v>
      </c>
      <c r="N226">
        <v>48.9</v>
      </c>
      <c r="O226" s="58">
        <v>0.19050863999999998</v>
      </c>
      <c r="P226" s="58"/>
      <c r="Q226">
        <v>5.7</v>
      </c>
      <c r="R226">
        <v>0.17</v>
      </c>
      <c r="S226">
        <v>0.13</v>
      </c>
    </row>
    <row r="273" spans="2:16">
      <c r="B273" s="58"/>
      <c r="C273" s="58"/>
      <c r="G273" s="58"/>
      <c r="H273" s="58"/>
      <c r="I273" s="58"/>
      <c r="J273" s="58"/>
      <c r="K273" s="58"/>
      <c r="L273" s="58"/>
      <c r="M273" s="58"/>
      <c r="O273" s="58"/>
      <c r="P273" s="58"/>
    </row>
    <row r="274" spans="2:16">
      <c r="B274" s="58"/>
      <c r="C274" s="58"/>
      <c r="G274" s="58"/>
      <c r="H274" s="58"/>
      <c r="I274" s="58"/>
      <c r="J274" s="58"/>
      <c r="K274" s="58"/>
      <c r="L274" s="58"/>
      <c r="M274" s="58"/>
      <c r="O274" s="58"/>
      <c r="P274" s="58"/>
    </row>
    <row r="275" spans="2:16">
      <c r="B275" s="58"/>
      <c r="C275" s="58"/>
      <c r="G275" s="58"/>
      <c r="H275" s="58"/>
      <c r="I275" s="58"/>
      <c r="J275" s="58"/>
      <c r="K275" s="58"/>
      <c r="L275" s="58"/>
      <c r="M275" s="58"/>
      <c r="O275" s="58"/>
      <c r="P275" s="58"/>
    </row>
    <row r="276" spans="2:16">
      <c r="B276" s="58"/>
      <c r="C276" s="58"/>
      <c r="G276" s="58"/>
      <c r="H276" s="58"/>
      <c r="I276" s="58"/>
      <c r="J276" s="58"/>
      <c r="K276" s="58"/>
      <c r="L276" s="58"/>
      <c r="M276" s="58"/>
      <c r="O276" s="58"/>
      <c r="P276" s="58"/>
    </row>
    <row r="277" spans="2:16">
      <c r="B277" s="58"/>
      <c r="C277" s="58"/>
      <c r="G277" s="58"/>
      <c r="H277" s="58"/>
      <c r="I277" s="58"/>
      <c r="J277" s="58"/>
      <c r="K277" s="58"/>
      <c r="L277" s="58"/>
      <c r="M277" s="58"/>
      <c r="O277" s="58"/>
      <c r="P277" s="58"/>
    </row>
    <row r="278" spans="2:16">
      <c r="B278" s="58"/>
      <c r="C278" s="58"/>
      <c r="G278" s="58"/>
      <c r="H278" s="58"/>
      <c r="I278" s="58"/>
      <c r="J278" s="58"/>
      <c r="K278" s="58"/>
      <c r="L278" s="58"/>
      <c r="M278" s="58"/>
      <c r="O278" s="58"/>
      <c r="P278" s="58"/>
    </row>
    <row r="285" spans="2:16">
      <c r="B285" s="58"/>
      <c r="C285" s="58"/>
      <c r="G285" s="58"/>
      <c r="H285" s="58"/>
      <c r="I285" s="58"/>
      <c r="J285" s="58"/>
      <c r="K285" s="58"/>
      <c r="L285" s="58"/>
      <c r="M285" s="58"/>
      <c r="O285" s="58"/>
      <c r="P285" s="58"/>
    </row>
    <row r="286" spans="2:16">
      <c r="B286" s="58"/>
      <c r="C286" s="58"/>
      <c r="G286" s="58"/>
      <c r="H286" s="58"/>
      <c r="I286" s="58"/>
      <c r="J286" s="58"/>
      <c r="K286" s="58"/>
      <c r="L286" s="58"/>
      <c r="M286" s="58"/>
      <c r="N286" t="s">
        <v>56</v>
      </c>
      <c r="O286" s="58"/>
      <c r="P286" s="58"/>
    </row>
    <row r="287" spans="2:16">
      <c r="B287" s="58"/>
      <c r="C287" s="58"/>
      <c r="G287" s="58"/>
      <c r="H287" s="58"/>
      <c r="I287" s="58"/>
      <c r="J287" s="58"/>
      <c r="K287" s="58"/>
      <c r="L287" s="58"/>
      <c r="M287" s="58"/>
      <c r="O287" s="58"/>
      <c r="P287" s="58"/>
    </row>
    <row r="288" spans="2:16">
      <c r="B288" s="58"/>
      <c r="C288" s="58"/>
      <c r="G288" s="58"/>
      <c r="H288" s="58"/>
      <c r="I288" s="58"/>
      <c r="J288" s="58"/>
      <c r="K288" s="58"/>
      <c r="L288" s="58"/>
      <c r="M288" s="58"/>
      <c r="O288" s="58"/>
      <c r="P288" s="58"/>
    </row>
    <row r="289" spans="2:16">
      <c r="B289" s="58"/>
      <c r="C289" s="58"/>
      <c r="G289" s="58"/>
      <c r="H289" s="58"/>
      <c r="I289" s="58"/>
      <c r="J289" s="58"/>
      <c r="K289" s="58"/>
      <c r="L289" s="58"/>
      <c r="M289" s="58"/>
      <c r="O289" s="58"/>
      <c r="P289" s="58"/>
    </row>
    <row r="290" spans="2:16">
      <c r="B290" s="58"/>
      <c r="C290" s="58"/>
      <c r="G290" s="58"/>
      <c r="H290" s="58"/>
      <c r="I290" s="58"/>
      <c r="J290" s="58"/>
      <c r="K290" s="58"/>
      <c r="L290" s="58"/>
      <c r="M290" s="58"/>
      <c r="O290" s="58"/>
      <c r="P290" s="58"/>
    </row>
    <row r="291" spans="2:16">
      <c r="B291" s="58"/>
      <c r="C291" s="58"/>
      <c r="G291" s="58"/>
      <c r="H291" s="58"/>
      <c r="I291" s="58"/>
      <c r="J291" s="58"/>
      <c r="K291" s="58"/>
      <c r="L291" s="58"/>
      <c r="M291" s="58"/>
      <c r="O291" s="58"/>
      <c r="P291" s="5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Beef Cattle</vt:lpstr>
      <vt:lpstr>Beef Cattle kg)</vt:lpstr>
      <vt:lpstr>Sheet4</vt:lpstr>
      <vt:lpstr>Dairy Cattle</vt:lpstr>
      <vt:lpstr>Caluculation Sheet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Kappes</dc:creator>
  <cp:lastModifiedBy>Cathal Gallagher</cp:lastModifiedBy>
  <dcterms:created xsi:type="dcterms:W3CDTF">2024-09-14T06:00:05Z</dcterms:created>
  <dcterms:modified xsi:type="dcterms:W3CDTF">2024-09-26T11:40:26Z</dcterms:modified>
</cp:coreProperties>
</file>